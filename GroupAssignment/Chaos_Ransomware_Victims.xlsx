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8_{89B46861-B4B6-4B3B-97B8-C63E629F7A91}" xr6:coauthVersionLast="47" xr6:coauthVersionMax="47" xr10:uidLastSave="{00000000-0000-0000-0000-000000000000}"/>
  <bookViews>
    <workbookView xWindow="-98" yWindow="-98" windowWidth="21795" windowHeight="12345" tabRatio="500" xr2:uid="{00000000-000D-0000-FFFF-FFFF00000000}"/>
  </bookViews>
  <sheets>
    <sheet name="Summary" sheetId="1" r:id="rId1"/>
    <sheet name="Published Victims" sheetId="2" r:id="rId2"/>
    <sheet name="Pending (Obfuscated)" sheetId="3" r:id="rId3"/>
    <sheet name="Notes &amp; Method"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4" i="3" l="1"/>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E35" i="1"/>
  <c r="C35" i="1"/>
  <c r="D35" i="1" s="1"/>
  <c r="E34" i="1"/>
  <c r="C34" i="1"/>
  <c r="D34" i="1" s="1"/>
  <c r="E33" i="1"/>
  <c r="C33" i="1"/>
  <c r="D33" i="1" s="1"/>
  <c r="E32" i="1"/>
  <c r="C32" i="1"/>
  <c r="D32" i="1" s="1"/>
  <c r="H31" i="1"/>
  <c r="I31" i="1" s="1"/>
  <c r="E31" i="1"/>
  <c r="C31" i="1"/>
  <c r="D31" i="1" s="1"/>
  <c r="H30" i="1"/>
  <c r="I30" i="1" s="1"/>
  <c r="E30" i="1"/>
  <c r="C30" i="1"/>
  <c r="D30" i="1" s="1"/>
  <c r="H29" i="1"/>
  <c r="I29" i="1" s="1"/>
  <c r="E29" i="1"/>
  <c r="C29" i="1"/>
  <c r="D29" i="1" s="1"/>
  <c r="H28" i="1"/>
  <c r="I28" i="1" s="1"/>
  <c r="E28" i="1"/>
  <c r="C28" i="1"/>
  <c r="D28" i="1" s="1"/>
  <c r="H27" i="1"/>
  <c r="I27" i="1" s="1"/>
  <c r="E27" i="1"/>
  <c r="C27" i="1"/>
  <c r="H26" i="1"/>
  <c r="I26" i="1" s="1"/>
  <c r="E26" i="1"/>
  <c r="C26" i="1"/>
  <c r="D26" i="1" s="1"/>
  <c r="H25" i="1"/>
  <c r="I25" i="1" s="1"/>
  <c r="E25" i="1"/>
  <c r="C25" i="1"/>
  <c r="D25" i="1" s="1"/>
  <c r="H24" i="1"/>
  <c r="I24" i="1" s="1"/>
  <c r="E24" i="1"/>
  <c r="C24" i="1"/>
  <c r="D24" i="1" s="1"/>
  <c r="H23" i="1"/>
  <c r="E23" i="1"/>
  <c r="E36" i="1" s="1"/>
  <c r="C23" i="1"/>
  <c r="C17" i="1"/>
  <c r="C15" i="1"/>
  <c r="C16" i="1" s="1"/>
  <c r="C14" i="1"/>
  <c r="C12" i="1"/>
  <c r="C13" i="1" s="1"/>
  <c r="C10" i="1"/>
  <c r="C9" i="1"/>
  <c r="C8" i="1"/>
  <c r="H32" i="1" l="1"/>
  <c r="I23" i="1"/>
  <c r="D23" i="1"/>
  <c r="C36" i="1"/>
  <c r="D27" i="1"/>
  <c r="C18" i="1"/>
  <c r="C11" i="1"/>
  <c r="D36" i="1" l="1"/>
</calcChain>
</file>

<file path=xl/sharedStrings.xml><?xml version="1.0" encoding="utf-8"?>
<sst xmlns="http://schemas.openxmlformats.org/spreadsheetml/2006/main" count="744" uniqueCount="500">
  <si>
    <t>Chaos Ransomware – Data Leak Site Victim Snapshot</t>
  </si>
  <si>
    <t>Source: Chaos DLS API (/api/post/list + /api/post/get), collected via Tor. Prepared for SC4016 coursework.</t>
  </si>
  <si>
    <t>Snapshot date (UTC)</t>
  </si>
  <si>
    <t>← date the scrape was run; drives Expired/Pending status</t>
  </si>
  <si>
    <t>Key Figures</t>
  </si>
  <si>
    <t>Published victims (named)</t>
  </si>
  <si>
    <t>Pending posts (countdown, name hidden)</t>
  </si>
  <si>
    <t xml:space="preserve">  of which still pending at snapshot</t>
  </si>
  <si>
    <t>Total posts on site</t>
  </si>
  <si>
    <t>Total claimed leaked data – published (GB)</t>
  </si>
  <si>
    <t>Total claimed leaked data – published (TB)</t>
  </si>
  <si>
    <t>Average claimed size per published victim (GB)</t>
  </si>
  <si>
    <t>Largest single claimed leak (GB)</t>
  </si>
  <si>
    <t>Largest leak – victim</t>
  </si>
  <si>
    <t>Most-viewed victim post</t>
  </si>
  <si>
    <t>Victims in USA (% of published)</t>
  </si>
  <si>
    <t>Victims by Sector (published)</t>
  </si>
  <si>
    <t>Victims by Country (published)</t>
  </si>
  <si>
    <t>Sector</t>
  </si>
  <si>
    <t>Victims</t>
  </si>
  <si>
    <t>% of Published</t>
  </si>
  <si>
    <t>Claimed GB</t>
  </si>
  <si>
    <t>Country</t>
  </si>
  <si>
    <t>Manufacturing</t>
  </si>
  <si>
    <t>USA</t>
  </si>
  <si>
    <t>Healthcare &amp; Pharma</t>
  </si>
  <si>
    <t>Canada</t>
  </si>
  <si>
    <t>Construction &amp; Engineering</t>
  </si>
  <si>
    <t>UK</t>
  </si>
  <si>
    <t>Transportation &amp; Logistics</t>
  </si>
  <si>
    <t>Unknown</t>
  </si>
  <si>
    <t>Business &amp; Professional Services</t>
  </si>
  <si>
    <t>Austria</t>
  </si>
  <si>
    <t>Retail &amp; Consumer</t>
  </si>
  <si>
    <t>Germany</t>
  </si>
  <si>
    <t>Technology</t>
  </si>
  <si>
    <t>Italy</t>
  </si>
  <si>
    <t>Automotive</t>
  </si>
  <si>
    <t>Sweden</t>
  </si>
  <si>
    <t>Chemicals</t>
  </si>
  <si>
    <t>Taiwan</t>
  </si>
  <si>
    <t>Financial Services &amp; Insurance</t>
  </si>
  <si>
    <t>Total</t>
  </si>
  <si>
    <t>Energy &amp; Materials</t>
  </si>
  <si>
    <t>Non-profit</t>
  </si>
  <si>
    <t>Real Estate</t>
  </si>
  <si>
    <t>#</t>
  </si>
  <si>
    <t>Victim</t>
  </si>
  <si>
    <t>Domain</t>
  </si>
  <si>
    <t>Sector (inferred)</t>
  </si>
  <si>
    <t>Country (inferred)</t>
  </si>
  <si>
    <t>Claimed Leak Size (GB)</t>
  </si>
  <si>
    <t>Site Views</t>
  </si>
  <si>
    <t>Reference Website</t>
  </si>
  <si>
    <t>Leak Post Description (excerpt)</t>
  </si>
  <si>
    <t>Leak Post URL</t>
  </si>
  <si>
    <t>advantech.com</t>
  </si>
  <si>
    <t>https://www.zoominfo.com/c/advantech-co-ltd/1149499</t>
  </si>
  <si>
    <t>We are publishing 5% of the total data because the company's management is ignoring the situation and has not contacted us. The company's management has exactly 48 hours to contact us; otherwise, the entire dataset will be published.</t>
  </si>
  <si>
    <t>http://hptqq2o2qjva7lcaaq67w36jihzivkaitkexorauw7b2yul2z6zozpqd.onion/Pfa5mOakuACFbqhsUgrEzO57i8E7T5gR/advantech-com</t>
  </si>
  <si>
    <t>steelhausinc.com</t>
  </si>
  <si>
    <t>https://www.zoominfo.com/c/steelhaus-technologies-inc/345554973</t>
  </si>
  <si>
    <t>Steelhaus boldly drives the market with innovative energy solutions; fusing practical, field proven experience, adaptable engineering, integrated manufacturing, and uncompromising safety with relentless delivery of unwavering customer service</t>
  </si>
  <si>
    <t>http://hptqq2o2qjva7lcaaq67w36jihzivkaitkexorauw7b2yul2z6zozpqd.onion/sZnWPIpfhHl0hrPEjKO92RbmEwS5hdiG/steelhausinc-com</t>
  </si>
  <si>
    <t>glasfloss.com</t>
  </si>
  <si>
    <t>https://www.zoominfo.com/c/glasfloss-industries-inc/16072811</t>
  </si>
  <si>
    <t>Glasfloss Industries manufactures and supplies HVAC air filtration products for industrial, commercial, and residential applications. The company was founded in 1936 and is headquartered in DeSoto, Texas</t>
  </si>
  <si>
    <t>http://hptqq2o2qjva7lcaaq67w36jihzivkaitkexorauw7b2yul2z6zozpqd.onion/pAbOCSoJdOztVDgF8uBcq7FY0fsqN6J4/glasfloss-com</t>
  </si>
  <si>
    <t>copeplastics.com</t>
  </si>
  <si>
    <t>https://www.zoominfo.com/c/cope-plastics-inc/29364532</t>
  </si>
  <si>
    <t>Cope Plastics is a leading U.S. distributor and fabricator of performance plastics, serving industrial and commercial customers since 1946. From our headquarters in Alton, Illinois and through multiple branch locations, we support clients across countless sectorsheavy equipment, transportation, aero…</t>
  </si>
  <si>
    <t>http://hptqq2o2qjva7lcaaq67w36jihzivkaitkexorauw7b2yul2z6zozpqd.onion/8q2RrLiN6uJyo3CWGnW7QE1SXOQCfPCb/copeplastics-com</t>
  </si>
  <si>
    <t>carolinaasthma.com</t>
  </si>
  <si>
    <t>https://www.zoominfo.com/c/carolina-asthma--allergy-center-pa/36772468</t>
  </si>
  <si>
    <t>Carolina Asthma &amp; Allergy Center is the largest asthma and allergy practice in the Charlotte area, staffed entirely by board-certified physicians. They offer a comprehensive range of services including allergy testing, asthma management, and specialized treatments for various allergic conditions. Th…</t>
  </si>
  <si>
    <t>http://hptqq2o2qjva7lcaaq67w36jihzivkaitkexorauw7b2yul2z6zozpqd.onion/EBMAw6xdj4wpIEZoORa8EhwkJcBfURKu/carolinaasthma-com</t>
  </si>
  <si>
    <t>parkdental.com</t>
  </si>
  <si>
    <t>https://www.zoominfo.com/c/park-dental/81691770</t>
  </si>
  <si>
    <t>To the Management of Park Dental:  Time is running out. Our previous attempts to establish a constructive dialogue regarding the security breach have been met with silence.  If the management of Park Dental fails to get in touch with our team within the next 24 hours, we will proceed with the full p…</t>
  </si>
  <si>
    <t>http://hptqq2o2qjva7lcaaq67w36jihzivkaitkexorauw7b2yul2z6zozpqd.onion/HPqaxQyDu2b5XtxY8Z4HTe0Jgz6j1PsS/parkdental-com</t>
  </si>
  <si>
    <t>macallister.com</t>
  </si>
  <si>
    <t>https://www.zoominfo.com/c/macallister-machinery-co-inc/41109495</t>
  </si>
  <si>
    <t>Founded in 1945 and headquartered in Indianapolis, Indiana, MacAllister Machinery Co., Inc. is a construction and heavy equipment dealer for Caterpillar</t>
  </si>
  <si>
    <t>http://hptqq2o2qjva7lcaaq67w36jihzivkaitkexorauw7b2yul2z6zozpqd.onion/HWYpccK3tQd2VIazsCSTQ72a2gcLaAhr/macallister-com</t>
  </si>
  <si>
    <t>corematerials.com</t>
  </si>
  <si>
    <t>https://www.zoominfo.com/c/core-molding-technologies/34509611</t>
  </si>
  <si>
    <t>Core Molding Technologies, Inc. is an engineered materials manufacturer specializing in thermoplastic and thermoset molded structural products. The company provides advanced composite molding solutions for the transportation, building products, utilities, powersports, marine, automotive, agriculture…</t>
  </si>
  <si>
    <t>http://hptqq2o2qjva7lcaaq67w36jihzivkaitkexorauw7b2yul2z6zozpqd.onion/Y1fpWBmDHkS9UVcAr34ryui3hKyJrn7R/corematerials-com</t>
  </si>
  <si>
    <t>artiflexmfg.com</t>
  </si>
  <si>
    <t>https://www.zoominfo.com/c/artiflex-manufacturing-llc/347538637</t>
  </si>
  <si>
    <t>ArtiFlex Manufacturing LLC operates as a specialized contract manufacturer focused on delivering precision sheet metal solutions to diverse industrial sectors. The company has built its operational foundation on deep expertise in manufacturing engineering, combining technical knowledge with practica…</t>
  </si>
  <si>
    <t>http://hptqq2o2qjva7lcaaq67w36jihzivkaitkexorauw7b2yul2z6zozpqd.onion/PzfXqKW5FK3vzC3lKchrNzIU8vn32VKA/artiflexmfg-com</t>
  </si>
  <si>
    <t>mankatoclinic.com</t>
  </si>
  <si>
    <t>https://www.zoominfo.com/c/mankato-clinic-ltd/69946466</t>
  </si>
  <si>
    <t>The Mankato Clinic was founded Mankato, Minnesota in 1916, by five area physicians who believed that a comprehensive, multi-specialty group practice offered the best means of providing quality health care to the residents of southern Minnesota. The mission of the Mankato Clinic is to improve the hea…</t>
  </si>
  <si>
    <t>http://hptqq2o2qjva7lcaaq67w36jihzivkaitkexorauw7b2yul2z6zozpqd.onion/Rct2l4z0PDB9rUIwh31yc0cSk5utsqfl/mankatoclinic-com</t>
  </si>
  <si>
    <t>mswalker.com</t>
  </si>
  <si>
    <t>https://www.zoominfo.com/c/ms-walker-inc/80759113</t>
  </si>
  <si>
    <t>M.S. Walker is a wholesale distributor of wines and spirits. This company is headquartered in Norwood, Massachusetts and was founded in 1933</t>
  </si>
  <si>
    <t>http://hptqq2o2qjva7lcaaq67w36jihzivkaitkexorauw7b2yul2z6zozpqd.onion/P59trLgiyhDHkPQY7RaQtsRxbtuwI281/mswalker-com</t>
  </si>
  <si>
    <t>parkderochie.com</t>
  </si>
  <si>
    <t>https://www.zoominfo.com/c/park-derochie-coatings-ltd/90424117</t>
  </si>
  <si>
    <t>Park Derochie (part of PD Group) is a leading Canadian contractor specializing in industrial coatings, fireproofing, scaffolding, insulation, and related services for large-scale infrastructure and industrial projects. The company supports sectors such as oil and gas, petrochemical, mining, utilitie…</t>
  </si>
  <si>
    <t>http://hptqq2o2qjva7lcaaq67w36jihzivkaitkexorauw7b2yul2z6zozpqd.onion/BrCvLMvN3dvI4pQ09PPTXcUiv8IhkOOJ/parkderochie-com</t>
  </si>
  <si>
    <t>evergenbio.com</t>
  </si>
  <si>
    <t>https://www.zoominfo.com/c/evergen/5000064487</t>
  </si>
  <si>
    <t>Evergen is a leading Contract Development and Manufacturing Organization (CDMO) specializing in biomaterial solutions for regenerative medicine. We work closely with OEM partners to deliver customized biomaterial solutions that meet specific clinical needs</t>
  </si>
  <si>
    <t>http://hptqq2o2qjva7lcaaq67w36jihzivkaitkexorauw7b2yul2z6zozpqd.onion/MU7nZVTkyUp3ngugKlwOnyVtxCATQdyB/evergenbio-com</t>
  </si>
  <si>
    <t>healthcarehighways.com</t>
  </si>
  <si>
    <t>https://www.zoominfo.com/c/healthcare-highways-inc/358361522</t>
  </si>
  <si>
    <t>Founded in 2010, Healthcare Highways is a healthcare organization creating the next generation of health plans, provider networks and healthcare. The company is led by an experienced executive team from across the health plan and consulting industries</t>
  </si>
  <si>
    <t>http://hptqq2o2qjva7lcaaq67w36jihzivkaitkexorauw7b2yul2z6zozpqd.onion/NBZQmQoAPXmW7Qw5eSuW98OqyQAmLjgv/healthcarehighways-com</t>
  </si>
  <si>
    <t>singleton.com</t>
  </si>
  <si>
    <t>https://www.zoominfo.com/c/singleton-urquhart-reynolds-vogel-llp/35078362</t>
  </si>
  <si>
    <t>Founded in 1986, Singleton Reynolds is a law firm. They are headquartered in Vancouver, British Columbia.</t>
  </si>
  <si>
    <t>http://hptqq2o2qjva7lcaaq67w36jihzivkaitkexorauw7b2yul2z6zozpqd.onion/vcn8Zx0x1GRAot9oXPRzGWlYNCwSXLLE/singleton-com</t>
  </si>
  <si>
    <t>vit-best.com</t>
  </si>
  <si>
    <t>https://www.zoominfo.com/c/vit-best-nutrition/370501117</t>
  </si>
  <si>
    <t>Vit-Best Nutrition is a trusted contract manufacturer specializing in nutritional supplements, offering a range of services from product development to packaging and distribution. Their in-house research and development team creates innovative, high-quality formulas tailored to client needs, while s…</t>
  </si>
  <si>
    <t>http://hptqq2o2qjva7lcaaq67w36jihzivkaitkexorauw7b2yul2z6zozpqd.onion/aFNYdj4QtXaallF5lrsdo2Qps0Qqs89E/vit-best-com</t>
  </si>
  <si>
    <t>remco.ca</t>
  </si>
  <si>
    <t>https://www.zoominfo.com/c/remco/43041492</t>
  </si>
  <si>
    <t>Founded in 1977 and headquartered in Quebec, Canada, Remco is an industry leader in warehousing, transportation and country-wide distribution for the retail industry</t>
  </si>
  <si>
    <t>http://hptqq2o2qjva7lcaaq67w36jihzivkaitkexorauw7b2yul2z6zozpqd.onion/qWjKrX8C3lSx950XPqTFy6OQYPYPgsWg/remco-ca</t>
  </si>
  <si>
    <t>neopharmlabs.com</t>
  </si>
  <si>
    <t>https://www.zoominfo.com/c/neopharm-labs-inc/354954235</t>
  </si>
  <si>
    <t>Neopharm Labs is an independently owned company headquartered in Blainville, Québec, Canada, and founded in 1990. Neopharm Labs is a full-service GMP analytical testing laboratory closely collaborating with pharmaceutical, medical devices, natural health, veterinary, as well as cosmetic clients</t>
  </si>
  <si>
    <t>http://hptqq2o2qjva7lcaaq67w36jihzivkaitkexorauw7b2yul2z6zozpqd.onion/JomTWj5W6nc0FKpV1RwIijHJZ3KjeIfw/neopharmlabs-com</t>
  </si>
  <si>
    <t>argonautms.com</t>
  </si>
  <si>
    <t>https://www.zoominfo.com/c/argonaut-manufacturing-services-inc/383349310</t>
  </si>
  <si>
    <t>Argonaut Manufacturing Services provides contract manufacturing for pharmaceutical, diagnostics and life science organizations</t>
  </si>
  <si>
    <t>http://hptqq2o2qjva7lcaaq67w36jihzivkaitkexorauw7b2yul2z6zozpqd.onion/r1hwOlmb0ewyKZnuaPHZVJchzawwiZIy/argonautms-com</t>
  </si>
  <si>
    <t>thecranewaregroup.com</t>
  </si>
  <si>
    <t>https://www.zoominfo.com/c/the-craneware-group/5000009609</t>
  </si>
  <si>
    <t>Craneware’s Public Deception: The Reality Behind the 'Non-Sensitive' Data Breach  Recent public statements and regulatory filings by UK health-tech firm Craneware claim that the massive cyber-attack they suffered only exposed "non-sensitive or already public regulatory data." They would have the s…</t>
  </si>
  <si>
    <t>http://hptqq2o2qjva7lcaaq67w36jihzivkaitkexorauw7b2yul2z6zozpqd.onion/Lnaz3mOuC1dFtiWC5q9mSzZLNPTEVysa/thecranewaregroup-com</t>
  </si>
  <si>
    <t>radiax.com</t>
  </si>
  <si>
    <t>https://www.zoominfo.com/c/radia-inc-ps/70369787</t>
  </si>
  <si>
    <t>The case of Radiax (radiax.com) is a glaring and disgusting example of how a company can completely disregard the safety of hundreds of thousands of people whose diagnoses, personal data, and medical histories have ended up in the public domain.  Welcome to Radia, one of the largest and most progres…</t>
  </si>
  <si>
    <t>http://hptqq2o2qjva7lcaaq67w36jihzivkaitkexorauw7b2yul2z6zozpqd.onion/rUuXIQjmaKAypDUHGeG179qxJI4cgXT3/radiax-com</t>
  </si>
  <si>
    <t>wikoff.com</t>
  </si>
  <si>
    <t>https://www.zoominfo.com/c/wikoff-color-corp/76070928</t>
  </si>
  <si>
    <t>Founded in 1956, Wikoff Color Corporation manufactures inks and coatings for print and packaging customers. Their headquarters is in Fort Mill, South Carolina</t>
  </si>
  <si>
    <t>http://hptqq2o2qjva7lcaaq67w36jihzivkaitkexorauw7b2yul2z6zozpqd.onion/wBNPmRbvISOgADzgg7I0L08O3YkhiJua/wikoff-com</t>
  </si>
  <si>
    <t>spectrumchemical.com</t>
  </si>
  <si>
    <t>https://www.zoominfo.com/c/spectrum-chemical-mfg-corp/112197980</t>
  </si>
  <si>
    <t>Founded in 1971 as a fine chemical manufacturing company, Spectrum Chemical Mfg. Corp. has grown into the chemical industry's leading customer-focused global supplier of high quality chemicals, laboratory supplies and equipment</t>
  </si>
  <si>
    <t>http://hptqq2o2qjva7lcaaq67w36jihzivkaitkexorauw7b2yul2z6zozpqd.onion/l1eZXDggILANKP6kfYVDTjB2UsUTtnju/spectrumchemical-com</t>
  </si>
  <si>
    <t>corepharma.com</t>
  </si>
  <si>
    <t>https://www.zoominfo.com/c/corepharma-llc/30217761</t>
  </si>
  <si>
    <t>CorePharma LLC is a pharmaceutical company specializing in the development and manufacturing of high-quality branded and generic pharmaceuticals across various therapeutic areas. With a commitment to quality, integrity, and teamwork, the company operates state-of-the-art facilities for product devel…</t>
  </si>
  <si>
    <t>http://hptqq2o2qjva7lcaaq67w36jihzivkaitkexorauw7b2yul2z6zozpqd.onion/Z6KoU0SixB9vmgLfssuHINwJEcO6uJYa/corepharma-com</t>
  </si>
  <si>
    <t>opportune.com</t>
  </si>
  <si>
    <t>https://www.zoominfo.com/c/opportune-llp/147440067</t>
  </si>
  <si>
    <t>Opportune LLP is a leading global energy business advisory firm specializing in adding value to clients across the energy industry, including upstream, midstream, downstream, power and gas, commodities trading, and oilfield services. Opportune's service lines include complex financial reporting, dis…</t>
  </si>
  <si>
    <t>http://hptqq2o2qjva7lcaaq67w36jihzivkaitkexorauw7b2yul2z6zozpqd.onion/Z1UcbRiSKzvaVtE4I0b48cFO0jI0V0YO/opportune-com</t>
  </si>
  <si>
    <t>aircreebec.ca</t>
  </si>
  <si>
    <t>https://www.zoominfo.com/c/air-creebec-inc/901712</t>
  </si>
  <si>
    <t>Air Creebec, founded in 1982, is a regional airline company based Waskaganish, Quebec. The company provides regular flights, air charter, medical transportation, and cargo services.</t>
  </si>
  <si>
    <t>http://hptqq2o2qjva7lcaaq67w36jihzivkaitkexorauw7b2yul2z6zozpqd.onion/GbzoPKkEKNZWucBEz8ILCyDUBnkCn0JH/aircreebec-ca</t>
  </si>
  <si>
    <t>aphenapharma.com</t>
  </si>
  <si>
    <t>https://www.zoominfo.com/c/aphena-pharma-solutions-inc/96862903</t>
  </si>
  <si>
    <t>Founded in 2002, Aphena Pharma is a pharmaceutical solution provider specializing in manufacturing and packaging for the pharmaceutical, dietary supplement, animal health, consumer health, medical device, and biologics marketplaces. Aphena Pharma is located in Cookeville, Tennessee</t>
  </si>
  <si>
    <t>http://hptqq2o2qjva7lcaaq67w36jihzivkaitkexorauw7b2yul2z6zozpqd.onion/chSvrDZ6H4X7x4CIf4EweWaLEPLccdzH/aphenapharma-com</t>
  </si>
  <si>
    <t>roofdepot.com</t>
  </si>
  <si>
    <t>https://www.zoominfo.com/c/roof-depot-inc/348637856</t>
  </si>
  <si>
    <t>Founded in 1998 and headquartered in Alpharetta, GA, Roof Depot is a roofing manufacturer that specializes in roof installation, repairs &amp; replacement</t>
  </si>
  <si>
    <t>http://hptqq2o2qjva7lcaaq67w36jihzivkaitkexorauw7b2yul2z6zozpqd.onion/uLzP0TsDiuseR83BjARDFmCrKPkiFuuX/roofdepot-com</t>
  </si>
  <si>
    <t>ingerman.com</t>
  </si>
  <si>
    <t>Ingerman is a developer, builder and manager of multifamily housing communities throughout the Mid-Atlantic region.</t>
  </si>
  <si>
    <t>http://hptqq2o2qjva7lcaaq67w36jihzivkaitkexorauw7b2yul2z6zozpqd.onion/eFnDbkPSi9k9g3lgEso7e118pg6iqv7A/ingerman-com</t>
  </si>
  <si>
    <t>sleemanbreweries.ca</t>
  </si>
  <si>
    <t>http://www.sleemanbreweries.ca</t>
  </si>
  <si>
    <t>Sleeman Breweries was founded in 1851 and headquartered in Guelph, Ontario. The company now markets and distributes world-class domestic and imported products.</t>
  </si>
  <si>
    <t>http://hptqq2o2qjva7lcaaq67w36jihzivkaitkexorauw7b2yul2z6zozpqd.onion/R0byD7G28XKZ01jkwCt9ZUgufBzfVnTA/sleemanbreweries-ca</t>
  </si>
  <si>
    <t>graymont.com</t>
  </si>
  <si>
    <t>NOTICE REGARDING GRAYMONT.COM  We are officially announcing that our negotiations with Graymont regarding the security of their data assets have been terminated.  Despite our repeated attempts to reach a professional agreement, Graymont’s management has demonstrated a profound lack of understandin…</t>
  </si>
  <si>
    <t>http://hptqq2o2qjva7lcaaq67w36jihzivkaitkexorauw7b2yul2z6zozpqd.onion/EZcDDIMSEXtpnWM0AeLwoEfoorKZ9ZyM/graymont-com</t>
  </si>
  <si>
    <t>gisy.com</t>
  </si>
  <si>
    <t>https://www.zoominfo.com/c/grand-isle-shipyard-inc/50466057</t>
  </si>
  <si>
    <t>[FINAL LEAK NOTICE]  Target: gisy.com Status: Negotiation Failure / Full Data Disclosure Archive: 1.1 TB / 341,712 files  Global Industries has officially chosen to ignore our ultimatum regarding the security of their data. Despite the sensitivity of the information in our possession, their leadersh…</t>
  </si>
  <si>
    <t>http://hptqq2o2qjva7lcaaq67w36jihzivkaitkexorauw7b2yul2z6zozpqd.onion/HvNtlUrCy28pkleddtj1Ndi2vRGIEVRM/gisy-com</t>
  </si>
  <si>
    <t>airespring.com</t>
  </si>
  <si>
    <t>https://www.zoominfo.com/c/airespring-inc/5739766</t>
  </si>
  <si>
    <t>Founded in 2001, AireSpring is a Managed Services Provider specializing in Unified Communications, Managed Network, and IT Services, serving thousands of businesses nationwide. AireSpring provides fully managed and connected end-to-end, next-generation solutions for multi-location enterprise custome…</t>
  </si>
  <si>
    <t>http://hptqq2o2qjva7lcaaq67w36jihzivkaitkexorauw7b2yul2z6zozpqd.onion/oMJZD5nwXI71QbElAkvd2L28Fb4xbKRk/airespring-com</t>
  </si>
  <si>
    <t>randa.net</t>
  </si>
  <si>
    <t>http://www.randa.net</t>
  </si>
  <si>
    <t>Randa Apparel &amp; Accessories is a global powerhouse and one of the world's leading apparel and lifestyle accessories companies, headquartered in New York City at 417 Fifth Avenue, 11th Floor. Founded in 1910, with the founder's family having been in the neckwear business since that time and the curre…</t>
  </si>
  <si>
    <t>http://hptqq2o2qjva7lcaaq67w36jihzivkaitkexorauw7b2yul2z6zozpqd.onion/z2GHGsNi1FlBYEXDYy5wwYjDlAkyGVUg/randa-net</t>
  </si>
  <si>
    <t>powerhousenow.com</t>
  </si>
  <si>
    <t>https://www.zoominfo.com/c/powerhouse-retail-services/346278435</t>
  </si>
  <si>
    <t>Powerhouse implements today what moves people through the experiences of tomorrow. From facilities maintenance to exterior services, rollout, and refresh programs, Powerhouse is your turnkey solution for commercial infrastructure maintenance and enhancement services. We leverage unparalleled service…</t>
  </si>
  <si>
    <t>http://hptqq2o2qjva7lcaaq67w36jihzivkaitkexorauw7b2yul2z6zozpqd.onion/MLBMZM6WZBtKLnTqzF6hdr58qnApbHdv/powerhousenow-com</t>
  </si>
  <si>
    <t>entransinternational.com</t>
  </si>
  <si>
    <t>https://www.zoominfo.com/c/entrans-international-llc/368177586</t>
  </si>
  <si>
    <t>EnTrans International, LLC, headquartered in Athens, Tennessee, is a manufacturer of trailered transportation and energy products sold under well-recognized brand names including Heil Trailer, Polar, Kalyn Siebert, Jarco, and SERVA, among others</t>
  </si>
  <si>
    <t>http://hptqq2o2qjva7lcaaq67w36jihzivkaitkexorauw7b2yul2z6zozpqd.onion/BjU9tRUwQcqpBEnhp1jtQKObLxLbhW8m/entransinternational-com</t>
  </si>
  <si>
    <t>sterlingindustries.com</t>
  </si>
  <si>
    <t>https://www.zoominfo.com/c/sterling-industries/58132211</t>
  </si>
  <si>
    <t>Sterling Industries is a North American-based contract manufacturer and assembler of medical devices and sub-components. We help clients deliver successful products by providing scaled production, design-for-manufacturing expertise, supplier consolidation, and other critical value chain services.</t>
  </si>
  <si>
    <t>http://hptqq2o2qjva7lcaaq67w36jihzivkaitkexorauw7b2yul2z6zozpqd.onion/RH4Yp7oXuDRfcp8cWWd4iN8kZauNGf56/sterlingindustries-com</t>
  </si>
  <si>
    <t>fallprotect.com</t>
  </si>
  <si>
    <t>http://www.fallprotect.com</t>
  </si>
  <si>
    <t>Diversified Fall Protection specializes in the design, fabrication, and installation of complete fall protection solutions that keep workers safe while working at heights. We minimize company liability and protect employees from one of the most common causes of work-related injuries.</t>
  </si>
  <si>
    <t>http://hptqq2o2qjva7lcaaq67w36jihzivkaitkexorauw7b2yul2z6zozpqd.onion/ngIdlxFwmPKCFUaS7A2RfORm21tjkugm/fallprotect-com</t>
  </si>
  <si>
    <t>cstindustries.com</t>
  </si>
  <si>
    <t>https://www.zoominfo.com/c/cst-industries-inc/28282428</t>
  </si>
  <si>
    <t>Founded in 1893, CST is a manufacturer and construction company for factory coated metal storage tanks, aluminum domes and specialty covers and reclaimer systems. The company is headquartered in Kansas City, Missouri.</t>
  </si>
  <si>
    <t>http://hptqq2o2qjva7lcaaq67w36jihzivkaitkexorauw7b2yul2z6zozpqd.onion/0MTAQq7Ed4lUE8W3ugU98DfljN4VCpIR/cstindustries-com</t>
  </si>
  <si>
    <t>wtitransport.com</t>
  </si>
  <si>
    <t>http://www.wtitransport.com</t>
  </si>
  <si>
    <t>Company management has exactly 72 hours to contact us. Otherwise, the organization’s data—which contains confidential information—will be published on our public platform, and the possibility of further negotiations will be ruled out.  WTI Transport is a flatbed trucking company headquartered…</t>
  </si>
  <si>
    <t>http://hptqq2o2qjva7lcaaq67w36jihzivkaitkexorauw7b2yul2z6zozpqd.onion/e4KoedyitHjpW0zJMn7tNzN3OlHRasDa/wtitransport-com</t>
  </si>
  <si>
    <t>challenge-mfg.com</t>
  </si>
  <si>
    <t>https://www.zoominfo.com/c/challenge-manufacturing-co/1137810885</t>
  </si>
  <si>
    <t>Challenge Manufacturing is a leading Tier 1 automotive supplier established in 1981, with a focus on growth and innovation across 12 locations in the United States. The company specializes in advanced manufacturing capabilities, including stamping, welding, and assembly processes, supported by over…</t>
  </si>
  <si>
    <t>http://hptqq2o2qjva7lcaaq67w36jihzivkaitkexorauw7b2yul2z6zozpqd.onion/SP6HPs3K609iS8rmatQO9PbvAA3Ky4fT/challenge-mfg-com</t>
  </si>
  <si>
    <t>vacaero.com</t>
  </si>
  <si>
    <t>Founded in 1959, VAC AERO provides vacuum heat treating and thermal &amp; paint coating services as well as vacuum furnace systems and controls to aerospace and high-tech industries worldwide. VAC AERO is headquartered in Toronto, Canada</t>
  </si>
  <si>
    <t>http://hptqq2o2qjva7lcaaq67w36jihzivkaitkexorauw7b2yul2z6zozpqd.onion/h9lRRpRP4HlHCJHCTlsoNji9O37ffzuA/vacaero-com</t>
  </si>
  <si>
    <t>polycorp.com</t>
  </si>
  <si>
    <t>https://www.zoominfo.com/c/polycorp-ltd/30834718</t>
  </si>
  <si>
    <t>Polycorp is a privately owned Canadian Company that specializes in the design and manufacture of engineered elastomeric parts that provide our customers with cost effective solutions to their corrosion, abrasion, impact, noise and vibration problems.</t>
  </si>
  <si>
    <t>http://hptqq2o2qjva7lcaaq67w36jihzivkaitkexorauw7b2yul2z6zozpqd.onion/2zijtvy7oP3XAgLvNM2epNJp7kgesOCF/polycorp-com</t>
  </si>
  <si>
    <t>cadencepetroleum.com</t>
  </si>
  <si>
    <t>https://www.zoominfo.com/c/cadence-petroleum-group/476578914</t>
  </si>
  <si>
    <t>Our objective is to provide our customers with the best products and services. Cadence Petroleum and our suppliers stand behind the products we offer. Regardless of the industry, we have solutions specifically designed to improve your business; whether you want to increase traffic to your door or de…</t>
  </si>
  <si>
    <t>http://hptqq2o2qjva7lcaaq67w36jihzivkaitkexorauw7b2yul2z6zozpqd.onion/pNJ6KGNjdQJ5VtN6ZZaRfDNEVd2XMjSN/cadencepetroleum-com</t>
  </si>
  <si>
    <t>coastappliances.com</t>
  </si>
  <si>
    <t>http://www.coastappliances.com</t>
  </si>
  <si>
    <t>The files have been published in their entirety.</t>
  </si>
  <si>
    <t>http://hptqq2o2qjva7lcaaq67w36jihzivkaitkexorauw7b2yul2z6zozpqd.onion/KGan5zh1NKkLgZjJkdq5jUzLeUfvSO0x/coastappliances-com</t>
  </si>
  <si>
    <t>kdmpop.com</t>
  </si>
  <si>
    <t>http://www.kdmpop.com</t>
  </si>
  <si>
    <t>KDM P.O.P. Solutions Group, headquartered in Cincinnati, Ohio, with additional facilities in Cincinnati, Nashville, Atlanta and Cleveland, has been in business since 1970. KDM specializes in custom, innovative retail solutions at the point of purchase: P.O.P. print solutions</t>
  </si>
  <si>
    <t>http://hptqq2o2qjva7lcaaq67w36jihzivkaitkexorauw7b2yul2z6zozpqd.onion/QbsoKIzgo7XVC2vpXYqK4ntmltet0e4d/kdmpop-com</t>
  </si>
  <si>
    <t>smythco.com</t>
  </si>
  <si>
    <t>https://www.zoominfo.com/c/smyth-companies-llc/35357328</t>
  </si>
  <si>
    <t>Henry Martin Smyth founded Smyth Printing in 1877 in the frontier town of St. Paul Minnesota. Originally established to help local businesses with their commercial printing needs, the company eventually turned its focus to the production of labels for consumer product goods packaging. In the beginni…</t>
  </si>
  <si>
    <t>http://hptqq2o2qjva7lcaaq67w36jihzivkaitkexorauw7b2yul2z6zozpqd.onion/EKOWyRZFHpYF8o9Bg0IyEzYToXLhueXD/smythco-com</t>
  </si>
  <si>
    <t>loopcap.com</t>
  </si>
  <si>
    <t>https://www.zoominfo.com/c/loop-capital-holdings-llc/70616391</t>
  </si>
  <si>
    <t>We provided the management of Loop Capital with ample time and opportunity to protect their clients, their employees, and their shareholders. However, the company chose a path of total ignorance, opting for silence and bureaucratic delays instead of accountability.  For an investment firm of this ca…</t>
  </si>
  <si>
    <t>http://hptqq2o2qjva7lcaaq67w36jihzivkaitkexorauw7b2yul2z6zozpqd.onion/pAJEoGD0IPltwmdp8J8wiDnx8CGpSz5j/loopcap-com</t>
  </si>
  <si>
    <t>crescentenergyco.com</t>
  </si>
  <si>
    <t>https://www.zoominfo.com/c/crescent-energy/560087910</t>
  </si>
  <si>
    <t>Crescent is a growth-oriented U.S. independent energy company engaged in the acquisition, development and operation of oil and natural gas properties. Crescents portfolio of low-decline, cash-flow oriented assets comprises both mid-cycle unconventional and conventional assets with a long reserve lif…</t>
  </si>
  <si>
    <t>http://hptqq2o2qjva7lcaaq67w36jihzivkaitkexorauw7b2yul2z6zozpqd.onion/Ximk9LkDWjtu9BOA7qEnm12Dam4VhCRi/crescentenergyco-com</t>
  </si>
  <si>
    <t>flad.com</t>
  </si>
  <si>
    <t>We are announcing a major security breach and data exfiltration from Flad Architects, a leading national firm specializing in high-stakes science and technology infrastructure.  Total volume of exfiltrated data: Over 2.2 TB  The leaked archive includes critical and sensitive information across the f…</t>
  </si>
  <si>
    <t>http://hptqq2o2qjva7lcaaq67w36jihzivkaitkexorauw7b2yul2z6zozpqd.onion/RHU4A6M5GpZOAczfdRrAPgKVZ6GVSaHk/flad-com</t>
  </si>
  <si>
    <t>nelsonworldwide.com</t>
  </si>
  <si>
    <t>http://www.nelsonworldwide.com</t>
  </si>
  <si>
    <t>NELSON Worldwide is an award-winning firm delivering architecture, interior design, graphic design, and brand strategy services that transform all dimensions of the human experience, providing our clients with strategic and creative solutions that positively impact their lives and the environments w…</t>
  </si>
  <si>
    <t>http://hptqq2o2qjva7lcaaq67w36jihzivkaitkexorauw7b2yul2z6zozpqd.onion/3C0rfFnfAHHIhykeiIlUmmRKk0l6iVJD/nelsonworldwide-com</t>
  </si>
  <si>
    <t>ntic.com</t>
  </si>
  <si>
    <t>https://www.zoominfo.com/c/northern-technologies-international-corp/28033941</t>
  </si>
  <si>
    <t>Northern Technologies International Corporation (NTIC) is a specialty chemical company that develops and markets proprietary environmentally beneficial products and services focused on corrosion prevention and protection solutions. The company specializes in innovative rust and corrosion prevention…</t>
  </si>
  <si>
    <t>http://hptqq2o2qjva7lcaaq67w36jihzivkaitkexorauw7b2yul2z6zozpqd.onion/3VBSgUSfSnPd0lzvRXgD12hsxFD9l2vj/ntic-com</t>
  </si>
  <si>
    <t>milespartnership.com</t>
  </si>
  <si>
    <t>http://milespartnership.com</t>
  </si>
  <si>
    <t>The company was founded in 2005 and is based in Sarasota, Florida. Miles Partnership offers destination marketing, digital marketing, print publishing, data management, mobile marketing, email marketing, and hospitality marketing.</t>
  </si>
  <si>
    <t>http://hptqq2o2qjva7lcaaq67w36jihzivkaitkexorauw7b2yul2z6zozpqd.onion/cKQ2LVOA8rM7vQLr1G6oc8FMPwHN1Q4B/milespartnership-com</t>
  </si>
  <si>
    <t>anomatic.com</t>
  </si>
  <si>
    <t>https://www.zoominfo.com/c/anomatic-corp/6852027</t>
  </si>
  <si>
    <t>Founded in 1965 and headquartered in New Albany, Ohio, Anomatic is a full-service manufacturer of anodized aluminum and metalized packaging for the automotive, beauty, personal care, consumer electronics, pharmaceutical, medical devices, and spirits industries worldwide</t>
  </si>
  <si>
    <t>http://hptqq2o2qjva7lcaaq67w36jihzivkaitkexorauw7b2yul2z6zozpqd.onion/1FH4USInA6Ekbtm3goQMb9UzfAdcpDZT/anomatic-com</t>
  </si>
  <si>
    <t>horizonmedia.com</t>
  </si>
  <si>
    <t>https://www.zoominfo.com/c/horizon-media-inc/351810076</t>
  </si>
  <si>
    <t>Horizon Media — An Audit of Negligence (3.2 TB)  Horizon Media’s clients deserve the truth that has been hidden from them for the past month.  While the agency spent the budgets of Honda, GEICO, and the NFL to maintain a facade of "technological leadership," their actual security was a fiction.…</t>
  </si>
  <si>
    <t>http://hptqq2o2qjva7lcaaq67w36jihzivkaitkexorauw7b2yul2z6zozpqd.onion/dOx2hHmXB6HoSiUChubf2Xf0oAKPIeMF/horizonmedia-com</t>
  </si>
  <si>
    <t>CEIVA Logic</t>
  </si>
  <si>
    <t>ceiva.com</t>
  </si>
  <si>
    <t>http://www.ceiva.com</t>
  </si>
  <si>
    <t>CEIVA is the inventor of the world's first connected digital photo frame, offering a full line of digital frames that automatically receive and display new digital photos every day. Their products allow users to instantly share and showcase digital photos with ease. CEIVA targets customers looking f…</t>
  </si>
  <si>
    <t>http://hptqq2o2qjva7lcaaq67w36jihzivkaitkexorauw7b2yul2z6zozpqd.onion/jw9jezQtUmi035C1bsqfW5xjC1i29MMW/ceiva-logic</t>
  </si>
  <si>
    <t>VEPLASTIC</t>
  </si>
  <si>
    <t>veplastic.com</t>
  </si>
  <si>
    <t>http://www.veplastic.com</t>
  </si>
  <si>
    <t>Veplastic makes high-quality plastic compounds for manufacturers across Italy and Europe.</t>
  </si>
  <si>
    <t>http://hptqq2o2qjva7lcaaq67w36jihzivkaitkexorauw7b2yul2z6zozpqd.onion/w3mKyAfKRr80hdLPfg3mnoZN5NLZxKRd/veplastic</t>
  </si>
  <si>
    <t>amsino.com</t>
  </si>
  <si>
    <t>https://www.zoominfo.com/c/amsino-international-inc/2129982</t>
  </si>
  <si>
    <t>Amsinos superior quality and technological advancements have gained the trust of healthcare professionals worldwide. With over 25 years of experience, we are fully aware of what it takes to meet and exceed industry expectations. Our commitment to improving patient care is not only reflected in our p…</t>
  </si>
  <si>
    <t>http://hptqq2o2qjva7lcaaq67w36jihzivkaitkexorauw7b2yul2z6zozpqd.onion/7N1uBXCya7l6oSZNUR8Vsy1AAQoYAHpL/amsino-com</t>
  </si>
  <si>
    <t>thinkmarkets.com</t>
  </si>
  <si>
    <t>http://www.thinkmarkets.com</t>
  </si>
  <si>
    <t>Founded in 2010, ThinkMarkets is a multi-asset online brokerage with headquarters in London and Melbourne and hubs in the Asia-Pacific, the Middle East and North Africa, Europe, and South America.</t>
  </si>
  <si>
    <t>http://hptqq2o2qjva7lcaaq67w36jihzivkaitkexorauw7b2yul2z6zozpqd.onion/o7lyBRF7S6hv1YzgrUEVri9yAAoVTChg/thinkmarkets-com</t>
  </si>
  <si>
    <t>b2be.com</t>
  </si>
  <si>
    <t>http://www.b2be.com</t>
  </si>
  <si>
    <t>B2BE provides a comprehensive suite of supply chain management solutions designed to enhance visibility, control, and efficiency for businesses globally. Their offerings include document management, e-invoicing, EDI, and automation tools tailored for both customer and supplier engagement. Targeting…</t>
  </si>
  <si>
    <t>http://hptqq2o2qjva7lcaaq67w36jihzivkaitkexorauw7b2yul2z6zozpqd.onion/Nlnxxj9pYLCbbI7W4B7jLu4OM1Hw22mV/b2be-com</t>
  </si>
  <si>
    <t>NSE Insurance Agencies</t>
  </si>
  <si>
    <t>nseinsurance.com</t>
  </si>
  <si>
    <t>http://www.nseinsurance.com</t>
  </si>
  <si>
    <t>NSE Insurance Agencies, Inc. is an independent insurance agency established in 1912, providing a comprehensive range of insurance services to individuals and business owners in Tulare, Kings, and Kern counties.</t>
  </si>
  <si>
    <t>http://hptqq2o2qjva7lcaaq67w36jihzivkaitkexorauw7b2yul2z6zozpqd.onion/FDIFJK1IguYnhzvpUYb5pAsCieBgXHIr/nse-insurance-agencies</t>
  </si>
  <si>
    <t>dakkota.com</t>
  </si>
  <si>
    <t>Founded in 2001, Dakkota Integrated Systems is a manufacturing company that provides a variety of build-to-order manufacturing processes including cockpit, overhead, and fascia systems and more.</t>
  </si>
  <si>
    <t>http://hptqq2o2qjva7lcaaq67w36jihzivkaitkexorauw7b2yul2z6zozpqd.onion/wNSxNKDCzkZtosjEq9RF3gfyn3Sgiqgr/dakkota-com</t>
  </si>
  <si>
    <t>lesker.com</t>
  </si>
  <si>
    <t>http://www.lesker.com</t>
  </si>
  <si>
    <t>Since it's foundation in 1954, Kurt J. Lesker Company has manufactured and sold vacuum equipment and parts to the electronic and communications related industries</t>
  </si>
  <si>
    <t>http://hptqq2o2qjva7lcaaq67w36jihzivkaitkexorauw7b2yul2z6zozpqd.onion/G1KKj8LbLQx4tNmeFvGNPdDekm5oWn2k/lesker-com</t>
  </si>
  <si>
    <t>iconinternational.com</t>
  </si>
  <si>
    <t>http://www.iconinternational.com</t>
  </si>
  <si>
    <t>ICON International, Inc. is a corporate barter firm that offers innovative solutions and strategic thinking to help brands grow and create economic value.</t>
  </si>
  <si>
    <t>http://hptqq2o2qjva7lcaaq67w36jihzivkaitkexorauw7b2yul2z6zozpqd.onion/w07qZVHEzNfp0EAuSw86Pld75x4JKPp2/iconinternational-com</t>
  </si>
  <si>
    <t>DeCeTe</t>
  </si>
  <si>
    <t>decete.de</t>
  </si>
  <si>
    <t>http://decete.de</t>
  </si>
  <si>
    <t>DeCeTe Duisburger Container-Terminalgesellschaft mbH</t>
  </si>
  <si>
    <t>http://hptqq2o2qjva7lcaaq67w36jihzivkaitkexorauw7b2yul2z6zozpqd.onion/FR6bO1HYJoY61qaDdLK12cqmVohNGJoN/decete</t>
  </si>
  <si>
    <t>msssolutions.com</t>
  </si>
  <si>
    <t>https://www.zoominfo.com/c/mss-solutions-llc/74305122</t>
  </si>
  <si>
    <t>Founded in 1996, MSS Solutions is a full-service Mechanical Contractor offering Design-Build, Design-Assist, and complete implementation services. The company specializes in new construction, large-scale renovations, and retrofit/replacement projects for HVAC, Fire, Security and Controls systems. Th…</t>
  </si>
  <si>
    <t>http://hptqq2o2qjva7lcaaq67w36jihzivkaitkexorauw7b2yul2z6zozpqd.onion/mQZlIJ5H99x7bu7x0pUtErKLOrVcgQ9r/www-msssolutions-com</t>
  </si>
  <si>
    <t>hanson-inc.com</t>
  </si>
  <si>
    <t>https://www.zoominfo.com/c/hanson-professional-services-inc/1114749567</t>
  </si>
  <si>
    <t>Hanson Professional Services Inc. is a national consulting firm that specializes in engineering, planning, and allied services. They provide a wide range of services including aviation, asset management, construction support, and sustainability solutions, catering to various sectors such as healthca…</t>
  </si>
  <si>
    <t>http://hptqq2o2qjva7lcaaq67w36jihzivkaitkexorauw7b2yul2z6zozpqd.onion/zI05fEpYNVWprdwn8dXyMq2ZrS08bR98/hanson-inc-com</t>
  </si>
  <si>
    <t>amsfulfillment.com</t>
  </si>
  <si>
    <t>http://www.amsfulfillment.com</t>
  </si>
  <si>
    <t>AMS Fulfillment is a leading full-service order fulfillment company operating as a third-party resource for order management, fulfillment center management and complex fulfillment services. AMS provides a full suite of fulfillment and distribution services to consumer products companies focused on s…</t>
  </si>
  <si>
    <t>http://hptqq2o2qjva7lcaaq67w36jihzivkaitkexorauw7b2yul2z6zozpqd.onion/5d78sim4piHzgA3hkcsmL2A7fy74SZcB/amsfulfillment-com</t>
  </si>
  <si>
    <t>archway.com</t>
  </si>
  <si>
    <t>http://www.archway.com</t>
  </si>
  <si>
    <t>Founded in 1952 and headquartered in Rogers, Minnesota, Archway is a provider of marketing logistics, fulfillment services, and supply chain management solutions.</t>
  </si>
  <si>
    <t>http://hptqq2o2qjva7lcaaq67w36jihzivkaitkexorauw7b2yul2z6zozpqd.onion/3CabmpqRnr57X6rPcMw5IBarWgyoHq9o/archway-com</t>
  </si>
  <si>
    <t>indiesemi.com</t>
  </si>
  <si>
    <t>http://www.indiesemi.com</t>
  </si>
  <si>
    <t>indie offers highly innovative automotive semiconductors and software solutions for Advanced Driver Assistance Systems (ADAS), including LiDAR, connected car, user experience and electrification applications.</t>
  </si>
  <si>
    <t>http://hptqq2o2qjva7lcaaq67w36jihzivkaitkexorauw7b2yul2z6zozpqd.onion/QHU4zM1ELStrkhq4mfE8vlydMRNGq4UF/indiesemi-com</t>
  </si>
  <si>
    <t>ebaengineering.com</t>
  </si>
  <si>
    <t>http://www.ebaengineering.com</t>
  </si>
  <si>
    <t>EBA Engineering is a multidisciplinary engineering firm focused on providing exceptional, client-centered experiences with a commitment to delivering results. They offer a wide range of services including construction management, civil site engineering, geotechnical engineering, and asset management…</t>
  </si>
  <si>
    <t>http://hptqq2o2qjva7lcaaq67w36jihzivkaitkexorauw7b2yul2z6zozpqd.onion/OVsE8XTrZxDuO2GaH6AbnrdTxK2EUqM2/ebaengineering-com</t>
  </si>
  <si>
    <t>AutohausMalin</t>
  </si>
  <si>
    <t>https://www.dnb.com/business-directory/company-information.retail_trade.at.vorarlberg.html</t>
  </si>
  <si>
    <t>Since 1957, Autohaus Malin has been a proud partner of the Renault brand and, since 2006, a partner of the Dacia brand. Located in Sulz, Vorarlberg, they are known for reliability and customer friendliness, thanks to their competent team and many years of experience.</t>
  </si>
  <si>
    <t>http://hptqq2o2qjva7lcaaq67w36jihzivkaitkexorauw7b2yul2z6zozpqd.onion/pGpCNAgVLfsiTfksxCxvUwzKMWZyHwzd/autohausmalin</t>
  </si>
  <si>
    <t>ellison-mills.com</t>
  </si>
  <si>
    <t>http://ellison-mills.com</t>
  </si>
  <si>
    <t>Ellison-Mills Contracting is a family-oriented company specializing in wet utility and roadway infrastructure in Southern Arizona. They are committed to cultivating strong relationships with clients and team members while delivering quality construction management for various project types. With ext…</t>
  </si>
  <si>
    <t>http://hptqq2o2qjva7lcaaq67w36jihzivkaitkexorauw7b2yul2z6zozpqd.onion/UP1j6gnz8n2CZ6MD0ALKtomahfbLfvLa/ellison-mills-com</t>
  </si>
  <si>
    <t>dafo.se</t>
  </si>
  <si>
    <t>http://www.dafo.se</t>
  </si>
  <si>
    <t>Dafo is a market leader in extinguishing systems for vehicles</t>
  </si>
  <si>
    <t>http://hptqq2o2qjva7lcaaq67w36jihzivkaitkexorauw7b2yul2z6zozpqd.onion/JjlhK6eklhVB4QhCRMMez8Ufpvl6OSD0/dafo-se</t>
  </si>
  <si>
    <t>The Salvation Army</t>
  </si>
  <si>
    <t>salvationarmy.org</t>
  </si>
  <si>
    <t>http://www.salvationarmy.org</t>
  </si>
  <si>
    <t>Data available.  The Salvation Army, established in 1865, has been offering an array of social services that range from providing food for the hungry, relief for disaster victims, assistance for the disabled, outreach to the elderly and ill, clothing and shelter to the homeless and opportunities for…</t>
  </si>
  <si>
    <t>http://hptqq2o2qjva7lcaaq67w36jihzivkaitkexorauw7b2yul2z6zozpqd.onion/OyO8YIXxjs0mN6ll3NZPNEgCFfMCGIpv/the-salvation-army</t>
  </si>
  <si>
    <t>rocketstores.com</t>
  </si>
  <si>
    <t>http://www.rocketstores.com</t>
  </si>
  <si>
    <t>$738.9 Million | Gas Stations, Convenience &amp; Liquor Stores Retail</t>
  </si>
  <si>
    <t>http://hptqq2o2qjva7lcaaq67w36jihzivkaitkexorauw7b2yul2z6zozpqd.onion/dGMSUMVDjUW1WYDk173ywKODNDG89sQe/www-rocketstores-com</t>
  </si>
  <si>
    <t>Veethree</t>
  </si>
  <si>
    <t>veethree.com</t>
  </si>
  <si>
    <t>http://veethree.com</t>
  </si>
  <si>
    <t>The Veethree Group is an alliance of companies, driven by common technologies and innovation. Today the group of companies has employees worldwide, with sites over 4 continents, serving 100’s of OEM customers.  Those companies include:     Indication Instruments Ltd – India     Veethre…</t>
  </si>
  <si>
    <t>http://hptqq2o2qjva7lcaaq67w36jihzivkaitkexorauw7b2yul2z6zozpqd.onion/r78eVWYYidbhOL1RaTnNeop3dDDxdRGq/veethree</t>
  </si>
  <si>
    <t>Transcore</t>
  </si>
  <si>
    <t>transcore.com</t>
  </si>
  <si>
    <t>http://transcore.com</t>
  </si>
  <si>
    <t>Founded in 1939 and headquartered in Nashville, Tennessee, TransCore is a company that provides digital solutions and services to transportation departments and agencies around the world. The company provides solutions that aid in the development of express lanes, creating traffic systems, and manag…</t>
  </si>
  <si>
    <t>http://hptqq2o2qjva7lcaaq67w36jihzivkaitkexorauw7b2yul2z6zozpqd.onion/isl4EYO6gomigAoyKCOS8WkiYfrspXzK/transcore</t>
  </si>
  <si>
    <t>iescomm.com</t>
  </si>
  <si>
    <t>https://www.zoominfo.com/c/ies-communications/1147732740</t>
  </si>
  <si>
    <t>904.6 Million | Commercial &amp; Residential Construction IES Communications, LLC (Integrated Electrical Services) We are the national leading provider of communications technology, systems, and services. IES Communications, LLC; The right team to get the job done</t>
  </si>
  <si>
    <t>http://hptqq2o2qjva7lcaaq67w36jihzivkaitkexorauw7b2yul2z6zozpqd.onion/4S0DAV3WkyopbiEaRIPoKWREqx3EqlOK/iescomm-com</t>
  </si>
  <si>
    <t>farmerbros.com</t>
  </si>
  <si>
    <t>https://www.zoominfo.com/c/farmer-bros-co/45469309</t>
  </si>
  <si>
    <t>Food &amp; Beverage | 341.1 Million Founded in 1912, Farmer Brothers is a national coffee roaster, wholesaler, equipment servicer and distributor of coffee, tea and culinary products. The companys product lines, include organic, Direct Trade and sustainably produced coffee. With a robust line of coffee,…</t>
  </si>
  <si>
    <t>http://hptqq2o2qjva7lcaaq67w36jihzivkaitkexorauw7b2yul2z6zozpqd.onion/LaXUPYIfbMe6UhPQbt8zKwGWBF9HjHVS/farmerbros-com</t>
  </si>
  <si>
    <t>Evans Distribution Systems</t>
  </si>
  <si>
    <t>evansdist.com</t>
  </si>
  <si>
    <t>http://evansdist.com</t>
  </si>
  <si>
    <t>Founded in 1929, Evans Distribution Systems is a provider of complete supply chain solutions including transportation, warehousing, distribution, staffing, value-added packaging, quality inspection, and more. The company is headquartered in Melvindale, Michigan.</t>
  </si>
  <si>
    <t>http://hptqq2o2qjva7lcaaq67w36jihzivkaitkexorauw7b2yul2z6zozpqd.onion/ich9HZ5cU6mrPRVAPVsqFWVvmuF6yrm4/evans-distribution-systems</t>
  </si>
  <si>
    <t>Pak Technologies</t>
  </si>
  <si>
    <t>paktech.com</t>
  </si>
  <si>
    <t>http://paktech.com</t>
  </si>
  <si>
    <t>PAK Technologies was established in 1980 in Milwaukee, WI. We began selling cleaners and restoration chemicals before incorporating private label blending and packaging. Since then, the company has grown and acquired BioPak, Inc., opened multiple facilities, and currently operates from its corporate…</t>
  </si>
  <si>
    <t>http://hptqq2o2qjva7lcaaq67w36jihzivkaitkexorauw7b2yul2z6zozpqd.onion/89I2Qg9QGCD1zO6i9GyPsXgjKPoWZG3i/pak-technologies</t>
  </si>
  <si>
    <t>goosehead.com</t>
  </si>
  <si>
    <t>https://www.zoominfo.com/c/goosehead-insurance-inc/103727195</t>
  </si>
  <si>
    <t>Goosehead Insurance, Inc. operates as a holding company for Goosehead Financial, LLC that engages in the provision of personal lines insurance agency services in the United States. The company offers homeowner's, automotive, dwelling property, flood, wind, earthquake, excess liability or umbrella, m…</t>
  </si>
  <si>
    <t>http://hptqq2o2qjva7lcaaq67w36jihzivkaitkexorauw7b2yul2z6zozpqd.onion/iV4yhetSf8IDcFZRnvJpTJFcPKCY9Fjz/goosehead-com</t>
  </si>
  <si>
    <t>Post Slug (obfuscated)</t>
  </si>
  <si>
    <t>Claimed Size (GB)</t>
  </si>
  <si>
    <t>Publish Deadline (UTC)</t>
  </si>
  <si>
    <t>Status at Snapshot</t>
  </si>
  <si>
    <t>fgaywgvvylivzix</t>
  </si>
  <si>
    <t>http://hptqq2o2qjva7lcaaq67w36jihzivkaitkexorauw7b2yul2z6zozpqd.onion/fgaywgvvylivzix</t>
  </si>
  <si>
    <t>sjnmrwhdihzmneqqz</t>
  </si>
  <si>
    <t>http://hptqq2o2qjva7lcaaq67w36jihzivkaitkexorauw7b2yul2z6zozpqd.onion/sjnmrwhdihzmneqqz</t>
  </si>
  <si>
    <t>whgwiefi</t>
  </si>
  <si>
    <t>http://hptqq2o2qjva7lcaaq67w36jihzivkaitkexorauw7b2yul2z6zozpqd.onion/whgwiefi</t>
  </si>
  <si>
    <t>ixooypkn</t>
  </si>
  <si>
    <t>http://hptqq2o2qjva7lcaaq67w36jihzivkaitkexorauw7b2yul2z6zozpqd.onion/ixooypkn</t>
  </si>
  <si>
    <t>soxpefrwyvjtsecokr</t>
  </si>
  <si>
    <t>http://hptqq2o2qjva7lcaaq67w36jihzivkaitkexorauw7b2yul2z6zozpqd.onion/soxpefrwyvjtsecokr</t>
  </si>
  <si>
    <t>owiujaucoqjkphlghftq</t>
  </si>
  <si>
    <t>http://hptqq2o2qjva7lcaaq67w36jihzivkaitkexorauw7b2yul2z6zozpqd.onion/owiujaucoqjkphlghftq</t>
  </si>
  <si>
    <t>iskiafjlnjlrcnu</t>
  </si>
  <si>
    <t>http://hptqq2o2qjva7lcaaq67w36jihzivkaitkexorauw7b2yul2z6zozpqd.onion/iskiafjlnjlrcnu</t>
  </si>
  <si>
    <t>fhiwdtizw</t>
  </si>
  <si>
    <t>http://hptqq2o2qjva7lcaaq67w36jihzivkaitkexorauw7b2yul2z6zozpqd.onion/fhiwdtizw</t>
  </si>
  <si>
    <t>pzuwoxxhafwnqeipcg</t>
  </si>
  <si>
    <t>http://hptqq2o2qjva7lcaaq67w36jihzivkaitkexorauw7b2yul2z6zozpqd.onion/pzuwoxxhafwnqeipcg</t>
  </si>
  <si>
    <t>esriawbqmnwvrlkff</t>
  </si>
  <si>
    <t>http://hptqq2o2qjva7lcaaq67w36jihzivkaitkexorauw7b2yul2z6zozpqd.onion/esriawbqmnwvrlkff</t>
  </si>
  <si>
    <t>ijzilinlqvbmdrq</t>
  </si>
  <si>
    <t>http://hptqq2o2qjva7lcaaq67w36jihzivkaitkexorauw7b2yul2z6zozpqd.onion/ijzilinlqvbmdrq</t>
  </si>
  <si>
    <t>opjuijysrrupw</t>
  </si>
  <si>
    <t>http://hptqq2o2qjva7lcaaq67w36jihzivkaitkexorauw7b2yul2z6zozpqd.onion/opjuijysrrupw</t>
  </si>
  <si>
    <t>tajjoswvevjrqjiwxkz</t>
  </si>
  <si>
    <t>http://hptqq2o2qjva7lcaaq67w36jihzivkaitkexorauw7b2yul2z6zozpqd.onion/tajjoswvevjrqjiwxkz</t>
  </si>
  <si>
    <t>fftxxcomoqcu</t>
  </si>
  <si>
    <t>http://hptqq2o2qjva7lcaaq67w36jihzivkaitkexorauw7b2yul2z6zozpqd.onion/fftxxcomoqcu</t>
  </si>
  <si>
    <t>xfccvslndppejybgxbix</t>
  </si>
  <si>
    <t>http://hptqq2o2qjva7lcaaq67w36jihzivkaitkexorauw7b2yul2z6zozpqd.onion/xfccvslndppejybgxbix</t>
  </si>
  <si>
    <t>bmkuzjp-beahaii-crtf</t>
  </si>
  <si>
    <t>http://hptqq2o2qjva7lcaaq67w36jihzivkaitkexorauw7b2yul2z6zozpqd.onion/bmkuzjp-beahaii-crtf</t>
  </si>
  <si>
    <t>eyvuvkbiyuanbqdm</t>
  </si>
  <si>
    <t>http://hptqq2o2qjva7lcaaq67w36jihzivkaitkexorauw7b2yul2z6zozpqd.onion/eyvuvkbiyuanbqdm</t>
  </si>
  <si>
    <t>rjhveuaqar</t>
  </si>
  <si>
    <t>http://hptqq2o2qjva7lcaaq67w36jihzivkaitkexorauw7b2yul2z6zozpqd.onion/rjhveuaqar</t>
  </si>
  <si>
    <t>uxlr-dimuzfo</t>
  </si>
  <si>
    <t>http://hptqq2o2qjva7lcaaq67w36jihzivkaitkexorauw7b2yul2z6zozpqd.onion/uxlr-dimuzfo</t>
  </si>
  <si>
    <t>rweibgsaacrsdltrcsu</t>
  </si>
  <si>
    <t>http://hptqq2o2qjva7lcaaq67w36jihzivkaitkexorauw7b2yul2z6zozpqd.onion/rweibgsaacrsdltrcsu</t>
  </si>
  <si>
    <t>bhapc-o-ldbbf</t>
  </si>
  <si>
    <t>http://hptqq2o2qjva7lcaaq67w36jihzivkaitkexorauw7b2yul2z6zozpqd.onion/bhapc-o-ldbbf</t>
  </si>
  <si>
    <t>unwvgitcyg</t>
  </si>
  <si>
    <t>http://hptqq2o2qjva7lcaaq67w36jihzivkaitkexorauw7b2yul2z6zozpqd.onion/unwvgitcyg</t>
  </si>
  <si>
    <t>xkrtsxnebbkr</t>
  </si>
  <si>
    <t>http://hptqq2o2qjva7lcaaq67w36jihzivkaitkexorauw7b2yul2z6zozpqd.onion/xkrtsxnebbkr</t>
  </si>
  <si>
    <t>yvccbflqw-nluxfhbccggrn</t>
  </si>
  <si>
    <t>http://hptqq2o2qjva7lcaaq67w36jihzivkaitkexorauw7b2yul2z6zozpqd.onion/yvccbflqw-nluxfhbccggrn</t>
  </si>
  <si>
    <t>hxxmsga-sippbrkwx</t>
  </si>
  <si>
    <t>http://hptqq2o2qjva7lcaaq67w36jihzivkaitkexorauw7b2yul2z6zozpqd.onion/hxxmsga-sippbrkwx</t>
  </si>
  <si>
    <t>scillx-mhtez</t>
  </si>
  <si>
    <t>http://hptqq2o2qjva7lcaaq67w36jihzivkaitkexorauw7b2yul2z6zozpqd.onion/scillx-mhtez</t>
  </si>
  <si>
    <t>fvdtqshsfvcsi-fcducjvee</t>
  </si>
  <si>
    <t>http://hptqq2o2qjva7lcaaq67w36jihzivkaitkexorauw7b2yul2z6zozpqd.onion/fvdtqshsfvcsi-fcducjvee</t>
  </si>
  <si>
    <t>yzzzkzjvzzdm</t>
  </si>
  <si>
    <t>http://hptqq2o2qjva7lcaaq67w36jihzivkaitkexorauw7b2yul2z6zozpqd.onion/yzzzkzjvzzdm</t>
  </si>
  <si>
    <t>cmla</t>
  </si>
  <si>
    <t>http://hptqq2o2qjva7lcaaq67w36jihzivkaitkexorauw7b2yul2z6zozpqd.onion/cmla</t>
  </si>
  <si>
    <t>empplfqgyddvt</t>
  </si>
  <si>
    <t>http://hptqq2o2qjva7lcaaq67w36jihzivkaitkexorauw7b2yul2z6zozpqd.onion/empplfqgyddvt</t>
  </si>
  <si>
    <t>wjo-wpkaevxvuh</t>
  </si>
  <si>
    <t>http://hptqq2o2qjva7lcaaq67w36jihzivkaitkexorauw7b2yul2z6zozpqd.onion/wjo-wpkaevxvuh</t>
  </si>
  <si>
    <t>nd-cef-rculeomx</t>
  </si>
  <si>
    <t>http://hptqq2o2qjva7lcaaq67w36jihzivkaitkexorauw7b2yul2z6zozpqd.onion/nd-cef-rculeomx</t>
  </si>
  <si>
    <t>gxawllpsrqrlnbapc</t>
  </si>
  <si>
    <t>http://hptqq2o2qjva7lcaaq67w36jihzivkaitkexorauw7b2yul2z6zozpqd.onion/gxawllpsrqrlnbapc</t>
  </si>
  <si>
    <t>fiqjoaikdjvmwn</t>
  </si>
  <si>
    <t>http://hptqq2o2qjva7lcaaq67w36jihzivkaitkexorauw7b2yul2z6zozpqd.onion/fiqjoaikdjvmwn</t>
  </si>
  <si>
    <t>yhdrdugisv</t>
  </si>
  <si>
    <t>http://hptqq2o2qjva7lcaaq67w36jihzivkaitkexorauw7b2yul2z6zozpqd.onion/yhdrdugisv</t>
  </si>
  <si>
    <t>sqfwzk-rmowi</t>
  </si>
  <si>
    <t>http://hptqq2o2qjva7lcaaq67w36jihzivkaitkexorauw7b2yul2z6zozpqd.onion/sqfwzk-rmowi</t>
  </si>
  <si>
    <t>sbweycbhsly</t>
  </si>
  <si>
    <t>http://hptqq2o2qjva7lcaaq67w36jihzivkaitkexorauw7b2yul2z6zozpqd.onion/sbweycbhsly</t>
  </si>
  <si>
    <t>ylgsnmfc-mqtsqp</t>
  </si>
  <si>
    <t>http://hptqq2o2qjva7lcaaq67w36jihzivkaitkexorauw7b2yul2z6zozpqd.onion/ylgsnmfc-mqtsqp</t>
  </si>
  <si>
    <t>qbxebfwsuhoknrcjoodd-axcb</t>
  </si>
  <si>
    <t>http://hptqq2o2qjva7lcaaq67w36jihzivkaitkexorauw7b2yul2z6zozpqd.onion/qbxebfwsuhoknrcjoodd-axcb</t>
  </si>
  <si>
    <t>yifckmgm</t>
  </si>
  <si>
    <t>http://hptqq2o2qjva7lcaaq67w36jihzivkaitkexorauw7b2yul2z6zozpqd.onion/yifckmgm</t>
  </si>
  <si>
    <t>wzrhmvttxyu</t>
  </si>
  <si>
    <t>http://hptqq2o2qjva7lcaaq67w36jihzivkaitkexorauw7b2yul2z6zozpqd.onion/wzrhmvttxyu</t>
  </si>
  <si>
    <t>ekkrqzkz</t>
  </si>
  <si>
    <t>http://hptqq2o2qjva7lcaaq67w36jihzivkaitkexorauw7b2yul2z6zozpqd.onion/ekkrqzkz</t>
  </si>
  <si>
    <t>asjcdtdb</t>
  </si>
  <si>
    <t>http://hptqq2o2qjva7lcaaq67w36jihzivkaitkexorauw7b2yul2z6zozpqd.onion/asjcdtdb</t>
  </si>
  <si>
    <t>Notes &amp; Method</t>
  </si>
  <si>
    <t>Collection</t>
  </si>
  <si>
    <t>• The Chaos leak site is a Vue.js single-page app; HTML scraping returns an empty shell. Data was pulled from its JSON API: POST /api/post/list (all posts, no pagination) and POST /api/post/get {id: hash} per post.</t>
  </si>
  <si>
    <t>• Access via Tor SOCKS5 proxy (127.0.0.1:9050). Only post metadata was collected; leaked-data download links were deliberately excluded.</t>
  </si>
  <si>
    <t>Field definitions</t>
  </si>
  <si>
    <t>• Claimed Leak Size (GB): the 'Leaked size' value displayed by the threat actor. Unverified – actor claims are often inflated. 0 = not stated.</t>
  </si>
  <si>
    <t>• Site Views: the actor-displayed view counter; may be artificially inflated and is not a reliable popularity metric.</t>
  </si>
  <si>
    <t>• Sector / Country (inferred): assigned by the analyst from the post description and public company info. 'Unknown' where HQ could not be confidently determined. Verify before citing.</t>
  </si>
  <si>
    <t>• Reference Website: link the actor attached (often a ZoomInfo/D&amp;B profile, not the victim's own site). Two malformed entries (msssolutions, rocketstores) were cleaned.</t>
  </si>
  <si>
    <t>• Description: excerpt as served by the list API (truncated with '…' by the site). Encoding errors (e.g. 'â€™') were corrected.</t>
  </si>
  <si>
    <t>Pending (Obfuscated) posts</t>
  </si>
  <si>
    <t>• These posts have an active countdown ('h' field). The API returns RANDOMISED placeholder text for the name, website and description until the timer expires – so victim identity is not recoverable, and these values were not kept.</t>
  </si>
  <si>
    <t>• Publish Deadline is converted from the Unix timestamp in the 'h' field. Status compares it to the snapshot date on the Summary sheet.</t>
  </si>
  <si>
    <t>• Two posts (cmla – Oct 2025, uxlr-dimuzfo – Mar 2026) have long-expired timers with near-empty content; likely stale or test entries.</t>
  </si>
  <si>
    <t>Limitations</t>
  </si>
  <si>
    <t>• The API exposes NO publication or 'added' date for published posts, so the intended Jan–Sep 2026 date filter could not be applied. This sheet therefore reflects ALL posts live on the site at the snapshot date.</t>
  </si>
  <si>
    <t>• To date the victims, cross-reference with ransomware trackers (e.g. ransomware.live, RansomLook) or the earliest public reporting on each breach.</t>
  </si>
  <si>
    <t>• Rows are kept in the order the API returned them, which appears to be newest-first (view counts rise steadily down the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</si>
</sst>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
    <numFmt numFmtId="166" formatCode="0.0%"/>
    <numFmt numFmtId="167" formatCode="#,##0;\-#,##0;\-"/>
    <numFmt numFmtId="168" formatCode="yyyy\-mm\-dd\ hh:mm"/>
  </numFmts>
  <fonts count="8" x14ac:knownFonts="1">
    <font>
      <sz val="11"/>
      <color theme="1"/>
      <name val="Calibri"/>
      <family val="2"/>
      <charset val="1"/>
    </font>
    <font>
      <b/>
      <sz val="16"/>
      <color rgb="FFB91C1C"/>
      <name val="Arial"/>
      <charset val="1"/>
    </font>
    <font>
      <i/>
      <sz val="10"/>
      <color rgb="FF6B7280"/>
      <name val="Arial"/>
      <charset val="1"/>
    </font>
    <font>
      <b/>
      <sz val="10"/>
      <name val="Arial"/>
      <charset val="1"/>
    </font>
    <font>
      <sz val="10"/>
      <color rgb="FF0000FF"/>
      <name val="Arial"/>
      <charset val="1"/>
    </font>
    <font>
      <b/>
      <sz val="12"/>
      <color rgb="FF1F2937"/>
      <name val="Arial"/>
      <charset val="1"/>
    </font>
    <font>
      <sz val="10"/>
      <name val="Arial"/>
      <charset val="1"/>
    </font>
    <font>
      <b/>
      <sz val="10"/>
      <color rgb="FFFFFFFF"/>
      <name val="Arial"/>
      <charset val="1"/>
    </font>
  </fonts>
  <fills count="3">
    <fill>
      <patternFill patternType="none"/>
    </fill>
    <fill>
      <patternFill patternType="gray125"/>
    </fill>
    <fill>
      <patternFill patternType="solid">
        <fgColor rgb="FF1F2937"/>
        <bgColor rgb="FF333300"/>
      </patternFill>
    </fill>
  </fills>
  <borders count="2">
    <border>
      <left/>
      <right/>
      <top/>
      <bottom/>
      <diagonal/>
    </border>
    <border>
      <left/>
      <right/>
      <top/>
      <bottom style="thin">
        <color rgb="FFD1D5DB"/>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xf numFmtId="0" fontId="6" fillId="0" borderId="1" xfId="0" applyFont="1" applyBorder="1"/>
    <xf numFmtId="3" fontId="3" fillId="0" borderId="1" xfId="0" applyNumberFormat="1" applyFont="1" applyBorder="1" applyAlignment="1">
      <alignment horizontal="right"/>
    </xf>
    <xf numFmtId="165" fontId="3" fillId="0" borderId="1" xfId="0" applyNumberFormat="1" applyFont="1" applyBorder="1" applyAlignment="1">
      <alignment horizontal="right"/>
    </xf>
    <xf numFmtId="49" fontId="3" fillId="0" borderId="1" xfId="0" applyNumberFormat="1" applyFont="1" applyBorder="1" applyAlignment="1">
      <alignment horizontal="right"/>
    </xf>
    <xf numFmtId="166" fontId="3" fillId="0" borderId="1" xfId="0" applyNumberFormat="1" applyFont="1" applyBorder="1" applyAlignment="1">
      <alignment horizontal="right"/>
    </xf>
    <xf numFmtId="0" fontId="7" fillId="2" borderId="0" xfId="0" applyFont="1" applyFill="1"/>
    <xf numFmtId="166" fontId="6" fillId="0" borderId="1" xfId="0" applyNumberFormat="1" applyFont="1" applyBorder="1"/>
    <xf numFmtId="3" fontId="6" fillId="0" borderId="1" xfId="0" applyNumberFormat="1" applyFont="1" applyBorder="1"/>
    <xf numFmtId="166" fontId="3" fillId="0" borderId="0" xfId="0" applyNumberFormat="1" applyFont="1"/>
    <xf numFmtId="3" fontId="3" fillId="0" borderId="0" xfId="0" applyNumberFormat="1" applyFont="1"/>
    <xf numFmtId="0" fontId="7" fillId="2" borderId="0" xfId="0" applyFont="1" applyFill="1" applyAlignment="1">
      <alignment vertical="center" wrapText="1"/>
    </xf>
    <xf numFmtId="0" fontId="6" fillId="0" borderId="0" xfId="0" applyFont="1" applyAlignment="1">
      <alignment vertical="top"/>
    </xf>
    <xf numFmtId="167" fontId="6" fillId="0" borderId="0" xfId="0" applyNumberFormat="1" applyFont="1" applyAlignment="1">
      <alignment vertical="top"/>
    </xf>
    <xf numFmtId="3" fontId="6" fillId="0" borderId="0" xfId="0" applyNumberFormat="1" applyFont="1" applyAlignment="1">
      <alignment vertical="top"/>
    </xf>
    <xf numFmtId="0" fontId="6" fillId="0" borderId="0" xfId="0" applyFont="1" applyAlignment="1">
      <alignment vertical="top" wrapText="1"/>
    </xf>
    <xf numFmtId="168" fontId="6" fillId="0" borderId="0" xfId="0" applyNumberFormat="1" applyFont="1" applyAlignment="1">
      <alignment vertical="top"/>
    </xf>
    <xf numFmtId="0" fontId="1"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9F9F9"/>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B91C1C"/>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SG" sz="1800" b="1" strike="noStrike" spc="-1">
                <a:solidFill>
                  <a:srgbClr val="000000"/>
                </a:solidFill>
                <a:latin typeface="Calibri"/>
              </a:rPr>
              <a:t>Published victims by sector</a:t>
            </a:r>
          </a:p>
        </c:rich>
      </c:tx>
      <c:overlay val="0"/>
      <c:spPr>
        <a:noFill/>
        <a:ln w="0">
          <a:noFill/>
        </a:ln>
      </c:spPr>
    </c:title>
    <c:autoTitleDeleted val="0"/>
    <c:plotArea>
      <c:layout/>
      <c:barChart>
        <c:barDir val="bar"/>
        <c:grouping val="clustered"/>
        <c:varyColors val="0"/>
        <c:ser>
          <c:idx val="0"/>
          <c:order val="0"/>
          <c:tx>
            <c:strRef>
              <c:f>Summary!$C$22</c:f>
              <c:strCache>
                <c:ptCount val="1"/>
                <c:pt idx="0">
                  <c:v>Victims</c:v>
                </c:pt>
              </c:strCache>
            </c:strRef>
          </c:tx>
          <c:spPr>
            <a:solidFill>
              <a:srgbClr val="B91C1C"/>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Summary!$B$23:$B$35</c:f>
              <c:strCache>
                <c:ptCount val="13"/>
                <c:pt idx="0">
                  <c:v>Manufacturing</c:v>
                </c:pt>
                <c:pt idx="1">
                  <c:v>Healthcare &amp; Pharma</c:v>
                </c:pt>
                <c:pt idx="2">
                  <c:v>Construction &amp; Engineering</c:v>
                </c:pt>
                <c:pt idx="3">
                  <c:v>Transportation &amp; Logistics</c:v>
                </c:pt>
                <c:pt idx="4">
                  <c:v>Business &amp; Professional Services</c:v>
                </c:pt>
                <c:pt idx="5">
                  <c:v>Retail &amp; Consumer</c:v>
                </c:pt>
                <c:pt idx="6">
                  <c:v>Technology</c:v>
                </c:pt>
                <c:pt idx="7">
                  <c:v>Automotive</c:v>
                </c:pt>
                <c:pt idx="8">
                  <c:v>Chemicals</c:v>
                </c:pt>
                <c:pt idx="9">
                  <c:v>Financial Services &amp; Insurance</c:v>
                </c:pt>
                <c:pt idx="10">
                  <c:v>Energy &amp; Materials</c:v>
                </c:pt>
                <c:pt idx="11">
                  <c:v>Non-profit</c:v>
                </c:pt>
                <c:pt idx="12">
                  <c:v>Real Estate</c:v>
                </c:pt>
              </c:strCache>
            </c:strRef>
          </c:cat>
          <c:val>
            <c:numRef>
              <c:f>Summary!$C$23:$C$35</c:f>
              <c:numCache>
                <c:formatCode>General</c:formatCode>
                <c:ptCount val="13"/>
                <c:pt idx="0">
                  <c:v>17</c:v>
                </c:pt>
                <c:pt idx="1">
                  <c:v>12</c:v>
                </c:pt>
                <c:pt idx="2">
                  <c:v>11</c:v>
                </c:pt>
                <c:pt idx="3">
                  <c:v>9</c:v>
                </c:pt>
                <c:pt idx="4">
                  <c:v>6</c:v>
                </c:pt>
                <c:pt idx="5">
                  <c:v>6</c:v>
                </c:pt>
                <c:pt idx="6">
                  <c:v>5</c:v>
                </c:pt>
                <c:pt idx="7">
                  <c:v>4</c:v>
                </c:pt>
                <c:pt idx="8">
                  <c:v>4</c:v>
                </c:pt>
                <c:pt idx="9">
                  <c:v>4</c:v>
                </c:pt>
                <c:pt idx="10">
                  <c:v>3</c:v>
                </c:pt>
                <c:pt idx="11">
                  <c:v>1</c:v>
                </c:pt>
                <c:pt idx="12">
                  <c:v>1</c:v>
                </c:pt>
              </c:numCache>
            </c:numRef>
          </c:val>
          <c:extLst>
            <c:ext xmlns:c16="http://schemas.microsoft.com/office/drawing/2014/chart" uri="{C3380CC4-5D6E-409C-BE32-E72D297353CC}">
              <c16:uniqueId val="{00000000-1FA4-4259-9674-217766AA210B}"/>
            </c:ext>
          </c:extLst>
        </c:ser>
        <c:dLbls>
          <c:showLegendKey val="0"/>
          <c:showVal val="0"/>
          <c:showCatName val="0"/>
          <c:showSerName val="0"/>
          <c:showPercent val="0"/>
          <c:showBubbleSize val="0"/>
        </c:dLbls>
        <c:gapWidth val="150"/>
        <c:axId val="1498430"/>
        <c:axId val="87804902"/>
      </c:barChart>
      <c:catAx>
        <c:axId val="1498430"/>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7804902"/>
        <c:crosses val="autoZero"/>
        <c:auto val="1"/>
        <c:lblAlgn val="ctr"/>
        <c:lblOffset val="100"/>
        <c:noMultiLvlLbl val="0"/>
      </c:catAx>
      <c:valAx>
        <c:axId val="87804902"/>
        <c:scaling>
          <c:orientation val="minMax"/>
        </c:scaling>
        <c:delete val="0"/>
        <c:axPos val="t"/>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984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5</xdr:row>
      <xdr:rowOff>130680</xdr:rowOff>
    </xdr:from>
    <xdr:to>
      <xdr:col>20</xdr:col>
      <xdr:colOff>364680</xdr:colOff>
      <xdr:row>26</xdr:row>
      <xdr:rowOff>90000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ublishedVictims" displayName="PublishedVictims" ref="A1:J84" totalsRowShown="0">
  <autoFilter ref="A1:J84" xr:uid="{00000000-0009-0000-0100-000002000000}"/>
  <tableColumns count="10">
    <tableColumn id="1" xr3:uid="{00000000-0010-0000-0000-000001000000}" name="#"/>
    <tableColumn id="2" xr3:uid="{00000000-0010-0000-0000-000002000000}" name="Victim"/>
    <tableColumn id="3" xr3:uid="{00000000-0010-0000-0000-000003000000}" name="Domain"/>
    <tableColumn id="4" xr3:uid="{00000000-0010-0000-0000-000004000000}" name="Sector (inferred)"/>
    <tableColumn id="5" xr3:uid="{00000000-0010-0000-0000-000005000000}" name="Country (inferred)"/>
    <tableColumn id="6" xr3:uid="{00000000-0010-0000-0000-000006000000}" name="Claimed Leak Size (GB)"/>
    <tableColumn id="7" xr3:uid="{00000000-0010-0000-0000-000007000000}" name="Site Views"/>
    <tableColumn id="8" xr3:uid="{00000000-0010-0000-0000-000008000000}" name="Reference Website"/>
    <tableColumn id="9" xr3:uid="{00000000-0010-0000-0000-000009000000}" name="Leak Post Description (excerpt)"/>
    <tableColumn id="10" xr3:uid="{00000000-0010-0000-0000-00000A000000}" name="Leak Post UR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endingPosts" displayName="PendingPosts" ref="A1:F44" totalsRowShown="0">
  <autoFilter ref="A1:F44" xr:uid="{00000000-0009-0000-0100-000001000000}"/>
  <tableColumns count="6">
    <tableColumn id="1" xr3:uid="{00000000-0010-0000-0100-000001000000}" name="#"/>
    <tableColumn id="2" xr3:uid="{00000000-0010-0000-0100-000002000000}" name="Post Slug (obfuscated)"/>
    <tableColumn id="3" xr3:uid="{00000000-0010-0000-0100-000003000000}" name="Claimed Size (GB)"/>
    <tableColumn id="4" xr3:uid="{00000000-0010-0000-0100-000004000000}" name="Publish Deadline (UTC)"/>
    <tableColumn id="5" xr3:uid="{00000000-0010-0000-0100-000005000000}" name="Status at Snapshot"/>
    <tableColumn id="6" xr3:uid="{00000000-0010-0000-0100-000006000000}" name="Leak Post UR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showGridLines="0" tabSelected="1" topLeftCell="A4" zoomScaleNormal="100" workbookViewId="0"/>
  </sheetViews>
  <sheetFormatPr defaultColWidth="8.6640625" defaultRowHeight="14.25" x14ac:dyDescent="0.45"/>
  <cols>
    <col min="1" max="1" width="2" customWidth="1"/>
    <col min="2" max="2" width="46" customWidth="1"/>
    <col min="3" max="3" width="22" customWidth="1"/>
    <col min="4" max="4" width="14" customWidth="1"/>
    <col min="5" max="5" width="12" customWidth="1"/>
    <col min="6" max="6" width="3" customWidth="1"/>
    <col min="7" max="7" width="16" customWidth="1"/>
    <col min="8" max="8" width="10" customWidth="1"/>
    <col min="9" max="9" width="14" customWidth="1"/>
  </cols>
  <sheetData>
    <row r="2" spans="2:4" ht="20.65" x14ac:dyDescent="0.6">
      <c r="B2" s="1" t="s">
        <v>0</v>
      </c>
    </row>
    <row r="3" spans="2:4" x14ac:dyDescent="0.45">
      <c r="B3" s="2" t="s">
        <v>1</v>
      </c>
    </row>
    <row r="5" spans="2:4" x14ac:dyDescent="0.45">
      <c r="B5" s="3" t="s">
        <v>2</v>
      </c>
      <c r="C5" s="4">
        <v>46297</v>
      </c>
      <c r="D5" s="2" t="s">
        <v>3</v>
      </c>
    </row>
    <row r="7" spans="2:4" ht="15.4" x14ac:dyDescent="0.45">
      <c r="B7" s="5" t="s">
        <v>4</v>
      </c>
    </row>
    <row r="8" spans="2:4" x14ac:dyDescent="0.45">
      <c r="B8" s="6" t="s">
        <v>5</v>
      </c>
      <c r="C8" s="7">
        <f>COUNTA('Published Victims'!B2:B84)</f>
        <v>83</v>
      </c>
    </row>
    <row r="9" spans="2:4" x14ac:dyDescent="0.45">
      <c r="B9" s="6" t="s">
        <v>6</v>
      </c>
      <c r="C9" s="7">
        <f>COUNTA('Pending (Obfuscated)'!B2:B44)</f>
        <v>43</v>
      </c>
    </row>
    <row r="10" spans="2:4" x14ac:dyDescent="0.45">
      <c r="B10" s="6" t="s">
        <v>7</v>
      </c>
      <c r="C10" s="7">
        <f>COUNTIF('Pending (Obfuscated)'!E2:E44,"Pending")</f>
        <v>41</v>
      </c>
    </row>
    <row r="11" spans="2:4" x14ac:dyDescent="0.45">
      <c r="B11" s="6" t="s">
        <v>8</v>
      </c>
      <c r="C11" s="7">
        <f>C8+C9</f>
        <v>126</v>
      </c>
    </row>
    <row r="12" spans="2:4" x14ac:dyDescent="0.45">
      <c r="B12" s="6" t="s">
        <v>9</v>
      </c>
      <c r="C12" s="7">
        <f>SUM('Published Victims'!F2:F84)</f>
        <v>37983</v>
      </c>
    </row>
    <row r="13" spans="2:4" x14ac:dyDescent="0.45">
      <c r="B13" s="6" t="s">
        <v>10</v>
      </c>
      <c r="C13" s="8">
        <f>C12/1000</f>
        <v>37.982999999999997</v>
      </c>
    </row>
    <row r="14" spans="2:4" x14ac:dyDescent="0.45">
      <c r="B14" s="6" t="s">
        <v>11</v>
      </c>
      <c r="C14" s="7">
        <f>AVERAGEIF('Published Victims'!F2:F84,"&gt;0")</f>
        <v>474.78750000000002</v>
      </c>
    </row>
    <row r="15" spans="2:4" x14ac:dyDescent="0.45">
      <c r="B15" s="6" t="s">
        <v>12</v>
      </c>
      <c r="C15" s="7">
        <f>MAX('Published Victims'!F2:F84)</f>
        <v>3200</v>
      </c>
    </row>
    <row r="16" spans="2:4" x14ac:dyDescent="0.45">
      <c r="B16" s="6" t="s">
        <v>13</v>
      </c>
      <c r="C16" s="9" t="str">
        <f>INDEX('Published Victims'!B2:B84,MATCH(C15,'Published Victims'!F2:F84,0))</f>
        <v>horizonmedia.com</v>
      </c>
    </row>
    <row r="17" spans="2:9" x14ac:dyDescent="0.45">
      <c r="B17" s="6" t="s">
        <v>14</v>
      </c>
      <c r="C17" s="9" t="str">
        <f>INDEX('Published Victims'!B2:B84,MATCH(MAX('Published Victims'!G2:G84),'Published Victims'!G2:G84,0))</f>
        <v>archway.com</v>
      </c>
    </row>
    <row r="18" spans="2:9" x14ac:dyDescent="0.45">
      <c r="B18" s="6" t="s">
        <v>15</v>
      </c>
      <c r="C18" s="10">
        <f>COUNTIF('Published Victims'!E2:E84,"USA")/C8</f>
        <v>0.74698795180722888</v>
      </c>
    </row>
    <row r="21" spans="2:9" ht="15.4" x14ac:dyDescent="0.45">
      <c r="B21" s="5" t="s">
        <v>16</v>
      </c>
      <c r="G21" s="5" t="s">
        <v>17</v>
      </c>
    </row>
    <row r="22" spans="2:9" x14ac:dyDescent="0.45">
      <c r="B22" s="11" t="s">
        <v>18</v>
      </c>
      <c r="C22" s="11" t="s">
        <v>19</v>
      </c>
      <c r="D22" s="11" t="s">
        <v>20</v>
      </c>
      <c r="E22" s="11" t="s">
        <v>21</v>
      </c>
      <c r="G22" s="11" t="s">
        <v>22</v>
      </c>
      <c r="H22" s="11" t="s">
        <v>19</v>
      </c>
      <c r="I22" s="11" t="s">
        <v>20</v>
      </c>
    </row>
    <row r="23" spans="2:9" x14ac:dyDescent="0.45">
      <c r="B23" s="6" t="s">
        <v>23</v>
      </c>
      <c r="C23" s="6">
        <f>COUNTIF('Published Victims'!$D$2:$D$84,B23)</f>
        <v>17</v>
      </c>
      <c r="D23" s="12">
        <f t="shared" ref="D23:D35" si="0">C23/$C$8</f>
        <v>0.20481927710843373</v>
      </c>
      <c r="E23" s="13">
        <f>SUMIF('Published Victims'!$D$2:$D$84,B23,'Published Victims'!$F$2:$F$84)</f>
        <v>6963</v>
      </c>
      <c r="G23" s="6" t="s">
        <v>24</v>
      </c>
      <c r="H23" s="6">
        <f>COUNTIF('Published Victims'!$E$2:$E$84,G23)</f>
        <v>62</v>
      </c>
      <c r="I23" s="12">
        <f t="shared" ref="I23:I31" si="1">H23/$C$8</f>
        <v>0.74698795180722888</v>
      </c>
    </row>
    <row r="24" spans="2:9" x14ac:dyDescent="0.45">
      <c r="B24" s="6" t="s">
        <v>25</v>
      </c>
      <c r="C24" s="6">
        <f>COUNTIF('Published Victims'!$D$2:$D$84,B24)</f>
        <v>12</v>
      </c>
      <c r="D24" s="12">
        <f t="shared" si="0"/>
        <v>0.14457831325301204</v>
      </c>
      <c r="E24" s="13">
        <f>SUMIF('Published Victims'!$D$2:$D$84,B24,'Published Victims'!$F$2:$F$84)</f>
        <v>5929</v>
      </c>
      <c r="G24" s="6" t="s">
        <v>26</v>
      </c>
      <c r="H24" s="6">
        <f>COUNTIF('Published Victims'!$E$2:$E$84,G24)</f>
        <v>10</v>
      </c>
      <c r="I24" s="12">
        <f t="shared" si="1"/>
        <v>0.12048192771084337</v>
      </c>
    </row>
    <row r="25" spans="2:9" x14ac:dyDescent="0.45">
      <c r="B25" s="6" t="s">
        <v>27</v>
      </c>
      <c r="C25" s="6">
        <f>COUNTIF('Published Victims'!$D$2:$D$84,B25)</f>
        <v>11</v>
      </c>
      <c r="D25" s="12">
        <f t="shared" si="0"/>
        <v>0.13253012048192772</v>
      </c>
      <c r="E25" s="13">
        <f>SUMIF('Published Victims'!$D$2:$D$84,B25,'Published Victims'!$F$2:$F$84)</f>
        <v>5970</v>
      </c>
      <c r="G25" s="6" t="s">
        <v>28</v>
      </c>
      <c r="H25" s="6">
        <f>COUNTIF('Published Victims'!$E$2:$E$84,G25)</f>
        <v>3</v>
      </c>
      <c r="I25" s="12">
        <f t="shared" si="1"/>
        <v>3.614457831325301E-2</v>
      </c>
    </row>
    <row r="26" spans="2:9" x14ac:dyDescent="0.45">
      <c r="B26" s="6" t="s">
        <v>29</v>
      </c>
      <c r="C26" s="6">
        <f>COUNTIF('Published Victims'!$D$2:$D$84,B26)</f>
        <v>9</v>
      </c>
      <c r="D26" s="12">
        <f t="shared" si="0"/>
        <v>0.10843373493975904</v>
      </c>
      <c r="E26" s="13">
        <f>SUMIF('Published Victims'!$D$2:$D$84,B26,'Published Victims'!$F$2:$F$84)</f>
        <v>3480</v>
      </c>
      <c r="G26" s="6" t="s">
        <v>30</v>
      </c>
      <c r="H26" s="6">
        <f>COUNTIF('Published Victims'!$E$2:$E$84,G26)</f>
        <v>3</v>
      </c>
      <c r="I26" s="12">
        <f t="shared" si="1"/>
        <v>3.614457831325301E-2</v>
      </c>
    </row>
    <row r="27" spans="2:9" x14ac:dyDescent="0.45">
      <c r="B27" s="6" t="s">
        <v>31</v>
      </c>
      <c r="C27" s="6">
        <f>COUNTIF('Published Victims'!$D$2:$D$84,B27)</f>
        <v>6</v>
      </c>
      <c r="D27" s="12">
        <f t="shared" si="0"/>
        <v>7.2289156626506021E-2</v>
      </c>
      <c r="E27" s="13">
        <f>SUMIF('Published Victims'!$D$2:$D$84,B27,'Published Victims'!$F$2:$F$84)</f>
        <v>5290</v>
      </c>
      <c r="G27" s="6" t="s">
        <v>32</v>
      </c>
      <c r="H27" s="6">
        <f>COUNTIF('Published Victims'!$E$2:$E$84,G27)</f>
        <v>1</v>
      </c>
      <c r="I27" s="12">
        <f t="shared" si="1"/>
        <v>1.2048192771084338E-2</v>
      </c>
    </row>
    <row r="28" spans="2:9" x14ac:dyDescent="0.45">
      <c r="B28" s="6" t="s">
        <v>33</v>
      </c>
      <c r="C28" s="6">
        <f>COUNTIF('Published Victims'!$D$2:$D$84,B28)</f>
        <v>6</v>
      </c>
      <c r="D28" s="12">
        <f t="shared" si="0"/>
        <v>7.2289156626506021E-2</v>
      </c>
      <c r="E28" s="13">
        <f>SUMIF('Published Victims'!$D$2:$D$84,B28,'Published Victims'!$F$2:$F$84)</f>
        <v>3090</v>
      </c>
      <c r="G28" s="6" t="s">
        <v>34</v>
      </c>
      <c r="H28" s="6">
        <f>COUNTIF('Published Victims'!$E$2:$E$84,G28)</f>
        <v>1</v>
      </c>
      <c r="I28" s="12">
        <f t="shared" si="1"/>
        <v>1.2048192771084338E-2</v>
      </c>
    </row>
    <row r="29" spans="2:9" x14ac:dyDescent="0.45">
      <c r="B29" s="6" t="s">
        <v>35</v>
      </c>
      <c r="C29" s="6">
        <f>COUNTIF('Published Victims'!$D$2:$D$84,B29)</f>
        <v>5</v>
      </c>
      <c r="D29" s="12">
        <f t="shared" si="0"/>
        <v>6.0240963855421686E-2</v>
      </c>
      <c r="E29" s="13">
        <f>SUMIF('Published Victims'!$D$2:$D$84,B29,'Published Victims'!$F$2:$F$84)</f>
        <v>2040</v>
      </c>
      <c r="G29" s="6" t="s">
        <v>36</v>
      </c>
      <c r="H29" s="6">
        <f>COUNTIF('Published Victims'!$E$2:$E$84,G29)</f>
        <v>1</v>
      </c>
      <c r="I29" s="12">
        <f t="shared" si="1"/>
        <v>1.2048192771084338E-2</v>
      </c>
    </row>
    <row r="30" spans="2:9" x14ac:dyDescent="0.45">
      <c r="B30" s="6" t="s">
        <v>37</v>
      </c>
      <c r="C30" s="6">
        <f>COUNTIF('Published Victims'!$D$2:$D$84,B30)</f>
        <v>4</v>
      </c>
      <c r="D30" s="12">
        <f t="shared" si="0"/>
        <v>4.8192771084337352E-2</v>
      </c>
      <c r="E30" s="13">
        <f>SUMIF('Published Victims'!$D$2:$D$84,B30,'Published Victims'!$F$2:$F$84)</f>
        <v>648</v>
      </c>
      <c r="G30" s="6" t="s">
        <v>38</v>
      </c>
      <c r="H30" s="6">
        <f>COUNTIF('Published Victims'!$E$2:$E$84,G30)</f>
        <v>1</v>
      </c>
      <c r="I30" s="12">
        <f t="shared" si="1"/>
        <v>1.2048192771084338E-2</v>
      </c>
    </row>
    <row r="31" spans="2:9" x14ac:dyDescent="0.45">
      <c r="B31" s="6" t="s">
        <v>39</v>
      </c>
      <c r="C31" s="6">
        <f>COUNTIF('Published Victims'!$D$2:$D$84,B31)</f>
        <v>4</v>
      </c>
      <c r="D31" s="12">
        <f t="shared" si="0"/>
        <v>4.8192771084337352E-2</v>
      </c>
      <c r="E31" s="13">
        <f>SUMIF('Published Victims'!$D$2:$D$84,B31,'Published Victims'!$F$2:$F$84)</f>
        <v>1195</v>
      </c>
      <c r="G31" s="6" t="s">
        <v>40</v>
      </c>
      <c r="H31" s="6">
        <f>COUNTIF('Published Victims'!$E$2:$E$84,G31)</f>
        <v>1</v>
      </c>
      <c r="I31" s="12">
        <f t="shared" si="1"/>
        <v>1.2048192771084338E-2</v>
      </c>
    </row>
    <row r="32" spans="2:9" x14ac:dyDescent="0.45">
      <c r="B32" s="6" t="s">
        <v>41</v>
      </c>
      <c r="C32" s="6">
        <f>COUNTIF('Published Victims'!$D$2:$D$84,B32)</f>
        <v>4</v>
      </c>
      <c r="D32" s="12">
        <f t="shared" si="0"/>
        <v>4.8192771084337352E-2</v>
      </c>
      <c r="E32" s="13">
        <f>SUMIF('Published Victims'!$D$2:$D$84,B32,'Published Victims'!$F$2:$F$84)</f>
        <v>1912</v>
      </c>
      <c r="G32" s="3" t="s">
        <v>42</v>
      </c>
      <c r="H32" s="3">
        <f>SUM(H23:H31)</f>
        <v>83</v>
      </c>
    </row>
    <row r="33" spans="2:5" x14ac:dyDescent="0.45">
      <c r="B33" s="6" t="s">
        <v>43</v>
      </c>
      <c r="C33" s="6">
        <f>COUNTIF('Published Victims'!$D$2:$D$84,B33)</f>
        <v>3</v>
      </c>
      <c r="D33" s="12">
        <f t="shared" si="0"/>
        <v>3.614457831325301E-2</v>
      </c>
      <c r="E33" s="13">
        <f>SUMIF('Published Victims'!$D$2:$D$84,B33,'Published Victims'!$F$2:$F$84)</f>
        <v>1210</v>
      </c>
    </row>
    <row r="34" spans="2:5" x14ac:dyDescent="0.45">
      <c r="B34" s="6" t="s">
        <v>44</v>
      </c>
      <c r="C34" s="6">
        <f>COUNTIF('Published Victims'!$D$2:$D$84,B34)</f>
        <v>1</v>
      </c>
      <c r="D34" s="12">
        <f t="shared" si="0"/>
        <v>1.2048192771084338E-2</v>
      </c>
      <c r="E34" s="13">
        <f>SUMIF('Published Victims'!$D$2:$D$84,B34,'Published Victims'!$F$2:$F$84)</f>
        <v>0</v>
      </c>
    </row>
    <row r="35" spans="2:5" x14ac:dyDescent="0.45">
      <c r="B35" s="6" t="s">
        <v>45</v>
      </c>
      <c r="C35" s="6">
        <f>COUNTIF('Published Victims'!$D$2:$D$84,B35)</f>
        <v>1</v>
      </c>
      <c r="D35" s="12">
        <f t="shared" si="0"/>
        <v>1.2048192771084338E-2</v>
      </c>
      <c r="E35" s="13">
        <f>SUMIF('Published Victims'!$D$2:$D$84,B35,'Published Victims'!$F$2:$F$84)</f>
        <v>256</v>
      </c>
    </row>
    <row r="36" spans="2:5" x14ac:dyDescent="0.45">
      <c r="B36" s="3" t="s">
        <v>42</v>
      </c>
      <c r="C36" s="3">
        <f>SUM(C23:C35)</f>
        <v>83</v>
      </c>
      <c r="D36" s="14">
        <f>SUM(D23:D35)</f>
        <v>1.0000000000000002</v>
      </c>
      <c r="E36" s="15">
        <f>SUM(E23:E35)</f>
        <v>37983</v>
      </c>
    </row>
  </sheetData>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4"/>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25" x14ac:dyDescent="0.45"/>
  <cols>
    <col min="1" max="1" width="5" customWidth="1"/>
    <col min="2" max="2" width="26" customWidth="1"/>
    <col min="3" max="3" width="24" customWidth="1"/>
    <col min="4" max="4" width="28" customWidth="1"/>
    <col min="5" max="5" width="14" customWidth="1"/>
    <col min="6" max="6" width="13" customWidth="1"/>
    <col min="7" max="7" width="11" customWidth="1"/>
    <col min="8" max="8" width="34" customWidth="1"/>
    <col min="9" max="9" width="70" customWidth="1"/>
    <col min="10" max="10" width="40" customWidth="1"/>
  </cols>
  <sheetData>
    <row r="1" spans="1:10" ht="30" customHeight="1" x14ac:dyDescent="0.45">
      <c r="A1" s="16" t="s">
        <v>46</v>
      </c>
      <c r="B1" s="16" t="s">
        <v>47</v>
      </c>
      <c r="C1" s="16" t="s">
        <v>48</v>
      </c>
      <c r="D1" s="16" t="s">
        <v>49</v>
      </c>
      <c r="E1" s="16" t="s">
        <v>50</v>
      </c>
      <c r="F1" s="16" t="s">
        <v>51</v>
      </c>
      <c r="G1" s="16" t="s">
        <v>52</v>
      </c>
      <c r="H1" s="16" t="s">
        <v>53</v>
      </c>
      <c r="I1" s="16" t="s">
        <v>54</v>
      </c>
      <c r="J1" s="16" t="s">
        <v>55</v>
      </c>
    </row>
    <row r="2" spans="1:10" ht="38.25" x14ac:dyDescent="0.45">
      <c r="A2" s="17">
        <v>1</v>
      </c>
      <c r="B2" s="17" t="s">
        <v>56</v>
      </c>
      <c r="C2" s="17" t="s">
        <v>56</v>
      </c>
      <c r="D2" s="17" t="s">
        <v>35</v>
      </c>
      <c r="E2" s="17" t="s">
        <v>40</v>
      </c>
      <c r="F2" s="18">
        <v>500</v>
      </c>
      <c r="G2" s="19">
        <v>2368</v>
      </c>
      <c r="H2" s="17" t="s">
        <v>57</v>
      </c>
      <c r="I2" s="20" t="s">
        <v>58</v>
      </c>
      <c r="J2" s="17" t="s">
        <v>59</v>
      </c>
    </row>
    <row r="3" spans="1:10" ht="38.25" x14ac:dyDescent="0.45">
      <c r="A3" s="17">
        <v>2</v>
      </c>
      <c r="B3" s="17" t="s">
        <v>60</v>
      </c>
      <c r="C3" s="17" t="s">
        <v>60</v>
      </c>
      <c r="D3" s="17" t="s">
        <v>23</v>
      </c>
      <c r="E3" s="17" t="s">
        <v>30</v>
      </c>
      <c r="F3" s="18">
        <v>152</v>
      </c>
      <c r="G3" s="19">
        <v>20001</v>
      </c>
      <c r="H3" s="17" t="s">
        <v>61</v>
      </c>
      <c r="I3" s="20" t="s">
        <v>62</v>
      </c>
      <c r="J3" s="17" t="s">
        <v>63</v>
      </c>
    </row>
    <row r="4" spans="1:10" ht="38.25" x14ac:dyDescent="0.45">
      <c r="A4" s="17">
        <v>3</v>
      </c>
      <c r="B4" s="17" t="s">
        <v>64</v>
      </c>
      <c r="C4" s="17" t="s">
        <v>64</v>
      </c>
      <c r="D4" s="17" t="s">
        <v>23</v>
      </c>
      <c r="E4" s="17" t="s">
        <v>24</v>
      </c>
      <c r="F4" s="18">
        <v>402</v>
      </c>
      <c r="G4" s="19">
        <v>19516</v>
      </c>
      <c r="H4" s="17" t="s">
        <v>65</v>
      </c>
      <c r="I4" s="20" t="s">
        <v>66</v>
      </c>
      <c r="J4" s="17" t="s">
        <v>67</v>
      </c>
    </row>
    <row r="5" spans="1:10" ht="51" x14ac:dyDescent="0.45">
      <c r="A5" s="17">
        <v>4</v>
      </c>
      <c r="B5" s="17" t="s">
        <v>68</v>
      </c>
      <c r="C5" s="17" t="s">
        <v>68</v>
      </c>
      <c r="D5" s="17" t="s">
        <v>23</v>
      </c>
      <c r="E5" s="17" t="s">
        <v>24</v>
      </c>
      <c r="F5" s="18">
        <v>57</v>
      </c>
      <c r="G5" s="19">
        <v>27688</v>
      </c>
      <c r="H5" s="17" t="s">
        <v>69</v>
      </c>
      <c r="I5" s="20" t="s">
        <v>70</v>
      </c>
      <c r="J5" s="17" t="s">
        <v>71</v>
      </c>
    </row>
    <row r="6" spans="1:10" ht="51" x14ac:dyDescent="0.45">
      <c r="A6" s="17">
        <v>5</v>
      </c>
      <c r="B6" s="17" t="s">
        <v>72</v>
      </c>
      <c r="C6" s="17" t="s">
        <v>72</v>
      </c>
      <c r="D6" s="17" t="s">
        <v>25</v>
      </c>
      <c r="E6" s="17" t="s">
        <v>24</v>
      </c>
      <c r="F6" s="18">
        <v>290</v>
      </c>
      <c r="G6" s="19">
        <v>2662</v>
      </c>
      <c r="H6" s="17" t="s">
        <v>73</v>
      </c>
      <c r="I6" s="20" t="s">
        <v>74</v>
      </c>
      <c r="J6" s="17" t="s">
        <v>75</v>
      </c>
    </row>
    <row r="7" spans="1:10" ht="51" x14ac:dyDescent="0.45">
      <c r="A7" s="17">
        <v>6</v>
      </c>
      <c r="B7" s="17" t="s">
        <v>76</v>
      </c>
      <c r="C7" s="17" t="s">
        <v>76</v>
      </c>
      <c r="D7" s="17" t="s">
        <v>25</v>
      </c>
      <c r="E7" s="17" t="s">
        <v>24</v>
      </c>
      <c r="F7" s="18">
        <v>275</v>
      </c>
      <c r="G7" s="19">
        <v>305</v>
      </c>
      <c r="H7" s="17" t="s">
        <v>77</v>
      </c>
      <c r="I7" s="20" t="s">
        <v>78</v>
      </c>
      <c r="J7" s="17" t="s">
        <v>79</v>
      </c>
    </row>
    <row r="8" spans="1:10" ht="25.5" x14ac:dyDescent="0.45">
      <c r="A8" s="17">
        <v>7</v>
      </c>
      <c r="B8" s="17" t="s">
        <v>80</v>
      </c>
      <c r="C8" s="17" t="s">
        <v>80</v>
      </c>
      <c r="D8" s="17" t="s">
        <v>27</v>
      </c>
      <c r="E8" s="17" t="s">
        <v>24</v>
      </c>
      <c r="F8" s="18">
        <v>75</v>
      </c>
      <c r="G8" s="19">
        <v>42596</v>
      </c>
      <c r="H8" s="17" t="s">
        <v>81</v>
      </c>
      <c r="I8" s="20" t="s">
        <v>82</v>
      </c>
      <c r="J8" s="17" t="s">
        <v>83</v>
      </c>
    </row>
    <row r="9" spans="1:10" ht="51" x14ac:dyDescent="0.45">
      <c r="A9" s="17">
        <v>8</v>
      </c>
      <c r="B9" s="17" t="s">
        <v>84</v>
      </c>
      <c r="C9" s="17" t="s">
        <v>84</v>
      </c>
      <c r="D9" s="17" t="s">
        <v>23</v>
      </c>
      <c r="E9" s="17" t="s">
        <v>24</v>
      </c>
      <c r="F9" s="18">
        <v>105</v>
      </c>
      <c r="G9" s="19">
        <v>41302</v>
      </c>
      <c r="H9" s="17" t="s">
        <v>85</v>
      </c>
      <c r="I9" s="20" t="s">
        <v>86</v>
      </c>
      <c r="J9" s="17" t="s">
        <v>87</v>
      </c>
    </row>
    <row r="10" spans="1:10" ht="51" x14ac:dyDescent="0.45">
      <c r="A10" s="17">
        <v>9</v>
      </c>
      <c r="B10" s="17" t="s">
        <v>88</v>
      </c>
      <c r="C10" s="17" t="s">
        <v>88</v>
      </c>
      <c r="D10" s="17" t="s">
        <v>23</v>
      </c>
      <c r="E10" s="17" t="s">
        <v>24</v>
      </c>
      <c r="F10" s="18">
        <v>1200</v>
      </c>
      <c r="G10" s="19">
        <v>23711</v>
      </c>
      <c r="H10" s="17" t="s">
        <v>89</v>
      </c>
      <c r="I10" s="20" t="s">
        <v>90</v>
      </c>
      <c r="J10" s="17" t="s">
        <v>91</v>
      </c>
    </row>
    <row r="11" spans="1:10" ht="51" x14ac:dyDescent="0.45">
      <c r="A11" s="17">
        <v>10</v>
      </c>
      <c r="B11" s="17" t="s">
        <v>92</v>
      </c>
      <c r="C11" s="17" t="s">
        <v>92</v>
      </c>
      <c r="D11" s="17" t="s">
        <v>25</v>
      </c>
      <c r="E11" s="17" t="s">
        <v>24</v>
      </c>
      <c r="F11" s="18">
        <v>610</v>
      </c>
      <c r="G11" s="19">
        <v>23793</v>
      </c>
      <c r="H11" s="17" t="s">
        <v>93</v>
      </c>
      <c r="I11" s="20" t="s">
        <v>94</v>
      </c>
      <c r="J11" s="17" t="s">
        <v>95</v>
      </c>
    </row>
    <row r="12" spans="1:10" ht="25.5" x14ac:dyDescent="0.45">
      <c r="A12" s="17">
        <v>11</v>
      </c>
      <c r="B12" s="17" t="s">
        <v>96</v>
      </c>
      <c r="C12" s="17" t="s">
        <v>96</v>
      </c>
      <c r="D12" s="17" t="s">
        <v>33</v>
      </c>
      <c r="E12" s="17" t="s">
        <v>24</v>
      </c>
      <c r="F12" s="18">
        <v>620</v>
      </c>
      <c r="G12" s="19">
        <v>44722</v>
      </c>
      <c r="H12" s="17" t="s">
        <v>97</v>
      </c>
      <c r="I12" s="20" t="s">
        <v>98</v>
      </c>
      <c r="J12" s="17" t="s">
        <v>99</v>
      </c>
    </row>
    <row r="13" spans="1:10" ht="51" x14ac:dyDescent="0.45">
      <c r="A13" s="17">
        <v>12</v>
      </c>
      <c r="B13" s="17" t="s">
        <v>100</v>
      </c>
      <c r="C13" s="17" t="s">
        <v>100</v>
      </c>
      <c r="D13" s="17" t="s">
        <v>27</v>
      </c>
      <c r="E13" s="17" t="s">
        <v>26</v>
      </c>
      <c r="F13" s="18">
        <v>910</v>
      </c>
      <c r="G13" s="19">
        <v>44694</v>
      </c>
      <c r="H13" s="17" t="s">
        <v>101</v>
      </c>
      <c r="I13" s="20" t="s">
        <v>102</v>
      </c>
      <c r="J13" s="17" t="s">
        <v>103</v>
      </c>
    </row>
    <row r="14" spans="1:10" ht="51" x14ac:dyDescent="0.45">
      <c r="A14" s="17">
        <v>13</v>
      </c>
      <c r="B14" s="17" t="s">
        <v>104</v>
      </c>
      <c r="C14" s="17" t="s">
        <v>104</v>
      </c>
      <c r="D14" s="17" t="s">
        <v>25</v>
      </c>
      <c r="E14" s="17" t="s">
        <v>24</v>
      </c>
      <c r="F14" s="18">
        <v>700</v>
      </c>
      <c r="G14" s="19">
        <v>29676</v>
      </c>
      <c r="H14" s="17" t="s">
        <v>105</v>
      </c>
      <c r="I14" s="20" t="s">
        <v>106</v>
      </c>
      <c r="J14" s="17" t="s">
        <v>107</v>
      </c>
    </row>
    <row r="15" spans="1:10" ht="51" x14ac:dyDescent="0.45">
      <c r="A15" s="17">
        <v>14</v>
      </c>
      <c r="B15" s="17" t="s">
        <v>108</v>
      </c>
      <c r="C15" s="17" t="s">
        <v>108</v>
      </c>
      <c r="D15" s="17" t="s">
        <v>25</v>
      </c>
      <c r="E15" s="17" t="s">
        <v>24</v>
      </c>
      <c r="F15" s="18">
        <v>235</v>
      </c>
      <c r="G15" s="19">
        <v>71921</v>
      </c>
      <c r="H15" s="17" t="s">
        <v>109</v>
      </c>
      <c r="I15" s="20" t="s">
        <v>110</v>
      </c>
      <c r="J15" s="17" t="s">
        <v>111</v>
      </c>
    </row>
    <row r="16" spans="1:10" ht="25.5" x14ac:dyDescent="0.45">
      <c r="A16" s="17">
        <v>15</v>
      </c>
      <c r="B16" s="17" t="s">
        <v>112</v>
      </c>
      <c r="C16" s="17" t="s">
        <v>112</v>
      </c>
      <c r="D16" s="17" t="s">
        <v>31</v>
      </c>
      <c r="E16" s="17" t="s">
        <v>26</v>
      </c>
      <c r="F16" s="18">
        <v>130</v>
      </c>
      <c r="G16" s="19">
        <v>42155</v>
      </c>
      <c r="H16" s="17" t="s">
        <v>113</v>
      </c>
      <c r="I16" s="20" t="s">
        <v>114</v>
      </c>
      <c r="J16" s="17" t="s">
        <v>115</v>
      </c>
    </row>
    <row r="17" spans="1:10" ht="51" x14ac:dyDescent="0.45">
      <c r="A17" s="17">
        <v>16</v>
      </c>
      <c r="B17" s="17" t="s">
        <v>116</v>
      </c>
      <c r="C17" s="17" t="s">
        <v>116</v>
      </c>
      <c r="D17" s="17" t="s">
        <v>23</v>
      </c>
      <c r="E17" s="17" t="s">
        <v>24</v>
      </c>
      <c r="F17" s="18">
        <v>132</v>
      </c>
      <c r="G17" s="19">
        <v>83241</v>
      </c>
      <c r="H17" s="17" t="s">
        <v>117</v>
      </c>
      <c r="I17" s="20" t="s">
        <v>118</v>
      </c>
      <c r="J17" s="17" t="s">
        <v>119</v>
      </c>
    </row>
    <row r="18" spans="1:10" ht="38.25" x14ac:dyDescent="0.45">
      <c r="A18" s="17">
        <v>17</v>
      </c>
      <c r="B18" s="17" t="s">
        <v>120</v>
      </c>
      <c r="C18" s="17" t="s">
        <v>120</v>
      </c>
      <c r="D18" s="17" t="s">
        <v>29</v>
      </c>
      <c r="E18" s="17" t="s">
        <v>26</v>
      </c>
      <c r="F18" s="18">
        <v>142</v>
      </c>
      <c r="G18" s="19">
        <v>84834</v>
      </c>
      <c r="H18" s="17" t="s">
        <v>121</v>
      </c>
      <c r="I18" s="20" t="s">
        <v>122</v>
      </c>
      <c r="J18" s="17" t="s">
        <v>123</v>
      </c>
    </row>
    <row r="19" spans="1:10" ht="51" x14ac:dyDescent="0.45">
      <c r="A19" s="17">
        <v>18</v>
      </c>
      <c r="B19" s="17" t="s">
        <v>124</v>
      </c>
      <c r="C19" s="17" t="s">
        <v>124</v>
      </c>
      <c r="D19" s="17" t="s">
        <v>25</v>
      </c>
      <c r="E19" s="17" t="s">
        <v>26</v>
      </c>
      <c r="F19" s="18">
        <v>627</v>
      </c>
      <c r="G19" s="19">
        <v>89861</v>
      </c>
      <c r="H19" s="17" t="s">
        <v>125</v>
      </c>
      <c r="I19" s="20" t="s">
        <v>126</v>
      </c>
      <c r="J19" s="17" t="s">
        <v>127</v>
      </c>
    </row>
    <row r="20" spans="1:10" ht="25.5" x14ac:dyDescent="0.45">
      <c r="A20" s="17">
        <v>19</v>
      </c>
      <c r="B20" s="17" t="s">
        <v>128</v>
      </c>
      <c r="C20" s="17" t="s">
        <v>128</v>
      </c>
      <c r="D20" s="17" t="s">
        <v>25</v>
      </c>
      <c r="E20" s="17" t="s">
        <v>24</v>
      </c>
      <c r="F20" s="18">
        <v>295</v>
      </c>
      <c r="G20" s="19">
        <v>90395</v>
      </c>
      <c r="H20" s="17" t="s">
        <v>129</v>
      </c>
      <c r="I20" s="20" t="s">
        <v>130</v>
      </c>
      <c r="J20" s="17" t="s">
        <v>131</v>
      </c>
    </row>
    <row r="21" spans="1:10" ht="51" x14ac:dyDescent="0.45">
      <c r="A21" s="17">
        <v>20</v>
      </c>
      <c r="B21" s="17" t="s">
        <v>132</v>
      </c>
      <c r="C21" s="17" t="s">
        <v>132</v>
      </c>
      <c r="D21" s="17" t="s">
        <v>25</v>
      </c>
      <c r="E21" s="17" t="s">
        <v>28</v>
      </c>
      <c r="F21" s="18">
        <v>960</v>
      </c>
      <c r="G21" s="19">
        <v>82481</v>
      </c>
      <c r="H21" s="17" t="s">
        <v>133</v>
      </c>
      <c r="I21" s="20" t="s">
        <v>134</v>
      </c>
      <c r="J21" s="17" t="s">
        <v>135</v>
      </c>
    </row>
    <row r="22" spans="1:10" ht="51" x14ac:dyDescent="0.45">
      <c r="A22" s="17">
        <v>21</v>
      </c>
      <c r="B22" s="17" t="s">
        <v>136</v>
      </c>
      <c r="C22" s="17" t="s">
        <v>136</v>
      </c>
      <c r="D22" s="17" t="s">
        <v>25</v>
      </c>
      <c r="E22" s="17" t="s">
        <v>24</v>
      </c>
      <c r="F22" s="18">
        <v>655</v>
      </c>
      <c r="G22" s="19">
        <v>76704</v>
      </c>
      <c r="H22" s="17" t="s">
        <v>137</v>
      </c>
      <c r="I22" s="20" t="s">
        <v>138</v>
      </c>
      <c r="J22" s="17" t="s">
        <v>139</v>
      </c>
    </row>
    <row r="23" spans="1:10" ht="25.5" x14ac:dyDescent="0.45">
      <c r="A23" s="17">
        <v>22</v>
      </c>
      <c r="B23" s="17" t="s">
        <v>140</v>
      </c>
      <c r="C23" s="17" t="s">
        <v>140</v>
      </c>
      <c r="D23" s="17" t="s">
        <v>39</v>
      </c>
      <c r="E23" s="17" t="s">
        <v>24</v>
      </c>
      <c r="F23" s="18">
        <v>650</v>
      </c>
      <c r="G23" s="19">
        <v>91605</v>
      </c>
      <c r="H23" s="17" t="s">
        <v>141</v>
      </c>
      <c r="I23" s="20" t="s">
        <v>142</v>
      </c>
      <c r="J23" s="17" t="s">
        <v>143</v>
      </c>
    </row>
    <row r="24" spans="1:10" ht="38.25" x14ac:dyDescent="0.45">
      <c r="A24" s="17">
        <v>23</v>
      </c>
      <c r="B24" s="17" t="s">
        <v>144</v>
      </c>
      <c r="C24" s="17" t="s">
        <v>144</v>
      </c>
      <c r="D24" s="17" t="s">
        <v>39</v>
      </c>
      <c r="E24" s="17" t="s">
        <v>24</v>
      </c>
      <c r="F24" s="18">
        <v>139</v>
      </c>
      <c r="G24" s="19">
        <v>98519</v>
      </c>
      <c r="H24" s="17" t="s">
        <v>145</v>
      </c>
      <c r="I24" s="20" t="s">
        <v>146</v>
      </c>
      <c r="J24" s="17" t="s">
        <v>147</v>
      </c>
    </row>
    <row r="25" spans="1:10" ht="51" x14ac:dyDescent="0.45">
      <c r="A25" s="17">
        <v>24</v>
      </c>
      <c r="B25" s="17" t="s">
        <v>148</v>
      </c>
      <c r="C25" s="17" t="s">
        <v>148</v>
      </c>
      <c r="D25" s="17" t="s">
        <v>25</v>
      </c>
      <c r="E25" s="17" t="s">
        <v>24</v>
      </c>
      <c r="F25" s="18">
        <v>240</v>
      </c>
      <c r="G25" s="19">
        <v>105977</v>
      </c>
      <c r="H25" s="17" t="s">
        <v>149</v>
      </c>
      <c r="I25" s="20" t="s">
        <v>150</v>
      </c>
      <c r="J25" s="17" t="s">
        <v>151</v>
      </c>
    </row>
    <row r="26" spans="1:10" ht="51" x14ac:dyDescent="0.45">
      <c r="A26" s="17">
        <v>25</v>
      </c>
      <c r="B26" s="17" t="s">
        <v>152</v>
      </c>
      <c r="C26" s="17" t="s">
        <v>152</v>
      </c>
      <c r="D26" s="17" t="s">
        <v>31</v>
      </c>
      <c r="E26" s="17" t="s">
        <v>24</v>
      </c>
      <c r="F26" s="18">
        <v>750</v>
      </c>
      <c r="G26" s="19">
        <v>105725</v>
      </c>
      <c r="H26" s="17" t="s">
        <v>153</v>
      </c>
      <c r="I26" s="20" t="s">
        <v>154</v>
      </c>
      <c r="J26" s="17" t="s">
        <v>155</v>
      </c>
    </row>
    <row r="27" spans="1:10" ht="38.25" x14ac:dyDescent="0.45">
      <c r="A27" s="17">
        <v>26</v>
      </c>
      <c r="B27" s="17" t="s">
        <v>156</v>
      </c>
      <c r="C27" s="17" t="s">
        <v>156</v>
      </c>
      <c r="D27" s="17" t="s">
        <v>29</v>
      </c>
      <c r="E27" s="17" t="s">
        <v>26</v>
      </c>
      <c r="F27" s="18">
        <v>70</v>
      </c>
      <c r="G27" s="19">
        <v>107729</v>
      </c>
      <c r="H27" s="17" t="s">
        <v>157</v>
      </c>
      <c r="I27" s="20" t="s">
        <v>158</v>
      </c>
      <c r="J27" s="17" t="s">
        <v>159</v>
      </c>
    </row>
    <row r="28" spans="1:10" ht="51" x14ac:dyDescent="0.45">
      <c r="A28" s="17">
        <v>27</v>
      </c>
      <c r="B28" s="17" t="s">
        <v>160</v>
      </c>
      <c r="C28" s="17" t="s">
        <v>160</v>
      </c>
      <c r="D28" s="17" t="s">
        <v>25</v>
      </c>
      <c r="E28" s="17" t="s">
        <v>24</v>
      </c>
      <c r="F28" s="18">
        <v>142</v>
      </c>
      <c r="G28" s="19">
        <v>94978</v>
      </c>
      <c r="H28" s="17" t="s">
        <v>161</v>
      </c>
      <c r="I28" s="20" t="s">
        <v>162</v>
      </c>
      <c r="J28" s="17" t="s">
        <v>163</v>
      </c>
    </row>
    <row r="29" spans="1:10" ht="25.5" x14ac:dyDescent="0.45">
      <c r="A29" s="17">
        <v>28</v>
      </c>
      <c r="B29" s="17" t="s">
        <v>164</v>
      </c>
      <c r="C29" s="17" t="s">
        <v>164</v>
      </c>
      <c r="D29" s="17" t="s">
        <v>27</v>
      </c>
      <c r="E29" s="17" t="s">
        <v>24</v>
      </c>
      <c r="F29" s="18">
        <v>115</v>
      </c>
      <c r="G29" s="19">
        <v>121084</v>
      </c>
      <c r="H29" s="17" t="s">
        <v>165</v>
      </c>
      <c r="I29" s="20" t="s">
        <v>166</v>
      </c>
      <c r="J29" s="17" t="s">
        <v>167</v>
      </c>
    </row>
    <row r="30" spans="1:10" ht="25.5" x14ac:dyDescent="0.45">
      <c r="A30" s="17">
        <v>29</v>
      </c>
      <c r="B30" s="17" t="s">
        <v>168</v>
      </c>
      <c r="C30" s="17" t="s">
        <v>168</v>
      </c>
      <c r="D30" s="17" t="s">
        <v>45</v>
      </c>
      <c r="E30" s="17" t="s">
        <v>24</v>
      </c>
      <c r="F30" s="18">
        <v>256</v>
      </c>
      <c r="G30" s="19">
        <v>119366</v>
      </c>
      <c r="H30" s="17"/>
      <c r="I30" s="20" t="s">
        <v>169</v>
      </c>
      <c r="J30" s="17" t="s">
        <v>170</v>
      </c>
    </row>
    <row r="31" spans="1:10" ht="25.5" x14ac:dyDescent="0.45">
      <c r="A31" s="17">
        <v>30</v>
      </c>
      <c r="B31" s="17" t="s">
        <v>171</v>
      </c>
      <c r="C31" s="17" t="s">
        <v>171</v>
      </c>
      <c r="D31" s="17" t="s">
        <v>33</v>
      </c>
      <c r="E31" s="17" t="s">
        <v>26</v>
      </c>
      <c r="F31" s="18">
        <v>420</v>
      </c>
      <c r="G31" s="19">
        <v>97132</v>
      </c>
      <c r="H31" s="17" t="s">
        <v>172</v>
      </c>
      <c r="I31" s="20" t="s">
        <v>173</v>
      </c>
      <c r="J31" s="17" t="s">
        <v>174</v>
      </c>
    </row>
    <row r="32" spans="1:10" ht="51" x14ac:dyDescent="0.45">
      <c r="A32" s="17">
        <v>31</v>
      </c>
      <c r="B32" s="17" t="s">
        <v>175</v>
      </c>
      <c r="C32" s="17" t="s">
        <v>175</v>
      </c>
      <c r="D32" s="17" t="s">
        <v>43</v>
      </c>
      <c r="E32" s="17" t="s">
        <v>26</v>
      </c>
      <c r="F32" s="18">
        <v>400</v>
      </c>
      <c r="G32" s="19">
        <v>124018</v>
      </c>
      <c r="H32" s="17"/>
      <c r="I32" s="20" t="s">
        <v>176</v>
      </c>
      <c r="J32" s="17" t="s">
        <v>177</v>
      </c>
    </row>
    <row r="33" spans="1:10" ht="51" x14ac:dyDescent="0.45">
      <c r="A33" s="17">
        <v>32</v>
      </c>
      <c r="B33" s="17" t="s">
        <v>178</v>
      </c>
      <c r="C33" s="17" t="s">
        <v>178</v>
      </c>
      <c r="D33" s="17" t="s">
        <v>29</v>
      </c>
      <c r="E33" s="17" t="s">
        <v>24</v>
      </c>
      <c r="F33" s="18">
        <v>1100</v>
      </c>
      <c r="G33" s="19">
        <v>107172</v>
      </c>
      <c r="H33" s="17" t="s">
        <v>179</v>
      </c>
      <c r="I33" s="20" t="s">
        <v>180</v>
      </c>
      <c r="J33" s="17" t="s">
        <v>181</v>
      </c>
    </row>
    <row r="34" spans="1:10" ht="51" x14ac:dyDescent="0.45">
      <c r="A34" s="17">
        <v>33</v>
      </c>
      <c r="B34" s="17" t="s">
        <v>182</v>
      </c>
      <c r="C34" s="17" t="s">
        <v>182</v>
      </c>
      <c r="D34" s="17" t="s">
        <v>35</v>
      </c>
      <c r="E34" s="17" t="s">
        <v>24</v>
      </c>
      <c r="F34" s="18">
        <v>140</v>
      </c>
      <c r="G34" s="19">
        <v>136012</v>
      </c>
      <c r="H34" s="17" t="s">
        <v>183</v>
      </c>
      <c r="I34" s="20" t="s">
        <v>184</v>
      </c>
      <c r="J34" s="17" t="s">
        <v>185</v>
      </c>
    </row>
    <row r="35" spans="1:10" ht="51" x14ac:dyDescent="0.45">
      <c r="A35" s="17">
        <v>34</v>
      </c>
      <c r="B35" s="17" t="s">
        <v>186</v>
      </c>
      <c r="C35" s="17" t="s">
        <v>186</v>
      </c>
      <c r="D35" s="17" t="s">
        <v>33</v>
      </c>
      <c r="E35" s="17" t="s">
        <v>24</v>
      </c>
      <c r="F35" s="18">
        <v>750</v>
      </c>
      <c r="G35" s="19">
        <v>121966</v>
      </c>
      <c r="H35" s="17" t="s">
        <v>187</v>
      </c>
      <c r="I35" s="20" t="s">
        <v>188</v>
      </c>
      <c r="J35" s="17" t="s">
        <v>189</v>
      </c>
    </row>
    <row r="36" spans="1:10" ht="51" x14ac:dyDescent="0.45">
      <c r="A36" s="17">
        <v>35</v>
      </c>
      <c r="B36" s="17" t="s">
        <v>190</v>
      </c>
      <c r="C36" s="17" t="s">
        <v>190</v>
      </c>
      <c r="D36" s="17" t="s">
        <v>31</v>
      </c>
      <c r="E36" s="17" t="s">
        <v>24</v>
      </c>
      <c r="F36" s="18">
        <v>500</v>
      </c>
      <c r="G36" s="19">
        <v>147463</v>
      </c>
      <c r="H36" s="17" t="s">
        <v>191</v>
      </c>
      <c r="I36" s="20" t="s">
        <v>192</v>
      </c>
      <c r="J36" s="17" t="s">
        <v>193</v>
      </c>
    </row>
    <row r="37" spans="1:10" ht="38.25" x14ac:dyDescent="0.45">
      <c r="A37" s="17">
        <v>36</v>
      </c>
      <c r="B37" s="17" t="s">
        <v>194</v>
      </c>
      <c r="C37" s="17" t="s">
        <v>194</v>
      </c>
      <c r="D37" s="17" t="s">
        <v>23</v>
      </c>
      <c r="E37" s="17" t="s">
        <v>24</v>
      </c>
      <c r="F37" s="18">
        <v>800</v>
      </c>
      <c r="G37" s="19">
        <v>146355</v>
      </c>
      <c r="H37" s="17" t="s">
        <v>195</v>
      </c>
      <c r="I37" s="20" t="s">
        <v>196</v>
      </c>
      <c r="J37" s="17" t="s">
        <v>197</v>
      </c>
    </row>
    <row r="38" spans="1:10" ht="51" x14ac:dyDescent="0.45">
      <c r="A38" s="17">
        <v>37</v>
      </c>
      <c r="B38" s="17" t="s">
        <v>198</v>
      </c>
      <c r="C38" s="17" t="s">
        <v>198</v>
      </c>
      <c r="D38" s="17" t="s">
        <v>23</v>
      </c>
      <c r="E38" s="17" t="s">
        <v>30</v>
      </c>
      <c r="F38" s="18">
        <v>500</v>
      </c>
      <c r="G38" s="19">
        <v>148019</v>
      </c>
      <c r="H38" s="17" t="s">
        <v>199</v>
      </c>
      <c r="I38" s="20" t="s">
        <v>200</v>
      </c>
      <c r="J38" s="17" t="s">
        <v>201</v>
      </c>
    </row>
    <row r="39" spans="1:10" ht="51" x14ac:dyDescent="0.45">
      <c r="A39" s="17">
        <v>38</v>
      </c>
      <c r="B39" s="17" t="s">
        <v>202</v>
      </c>
      <c r="C39" s="17" t="s">
        <v>202</v>
      </c>
      <c r="D39" s="17" t="s">
        <v>27</v>
      </c>
      <c r="E39" s="17" t="s">
        <v>24</v>
      </c>
      <c r="F39" s="18">
        <v>270</v>
      </c>
      <c r="G39" s="19">
        <v>157046</v>
      </c>
      <c r="H39" s="17" t="s">
        <v>203</v>
      </c>
      <c r="I39" s="20" t="s">
        <v>204</v>
      </c>
      <c r="J39" s="17" t="s">
        <v>205</v>
      </c>
    </row>
    <row r="40" spans="1:10" ht="38.25" x14ac:dyDescent="0.45">
      <c r="A40" s="17">
        <v>39</v>
      </c>
      <c r="B40" s="17" t="s">
        <v>206</v>
      </c>
      <c r="C40" s="17" t="s">
        <v>206</v>
      </c>
      <c r="D40" s="17" t="s">
        <v>23</v>
      </c>
      <c r="E40" s="17" t="s">
        <v>24</v>
      </c>
      <c r="F40" s="18">
        <v>350</v>
      </c>
      <c r="G40" s="19">
        <v>215870</v>
      </c>
      <c r="H40" s="17" t="s">
        <v>207</v>
      </c>
      <c r="I40" s="20" t="s">
        <v>208</v>
      </c>
      <c r="J40" s="17" t="s">
        <v>209</v>
      </c>
    </row>
    <row r="41" spans="1:10" ht="51" x14ac:dyDescent="0.45">
      <c r="A41" s="17">
        <v>40</v>
      </c>
      <c r="B41" s="17" t="s">
        <v>210</v>
      </c>
      <c r="C41" s="17" t="s">
        <v>210</v>
      </c>
      <c r="D41" s="17" t="s">
        <v>29</v>
      </c>
      <c r="E41" s="17" t="s">
        <v>24</v>
      </c>
      <c r="F41" s="18">
        <v>100</v>
      </c>
      <c r="G41" s="19">
        <v>134775</v>
      </c>
      <c r="H41" s="17" t="s">
        <v>211</v>
      </c>
      <c r="I41" s="20" t="s">
        <v>212</v>
      </c>
      <c r="J41" s="17" t="s">
        <v>213</v>
      </c>
    </row>
    <row r="42" spans="1:10" ht="51" x14ac:dyDescent="0.45">
      <c r="A42" s="17">
        <v>41</v>
      </c>
      <c r="B42" s="17" t="s">
        <v>214</v>
      </c>
      <c r="C42" s="17" t="s">
        <v>214</v>
      </c>
      <c r="D42" s="17" t="s">
        <v>37</v>
      </c>
      <c r="E42" s="17" t="s">
        <v>24</v>
      </c>
      <c r="F42" s="18">
        <v>270</v>
      </c>
      <c r="G42" s="19">
        <v>146514</v>
      </c>
      <c r="H42" s="17" t="s">
        <v>215</v>
      </c>
      <c r="I42" s="20" t="s">
        <v>216</v>
      </c>
      <c r="J42" s="17" t="s">
        <v>217</v>
      </c>
    </row>
    <row r="43" spans="1:10" ht="38.25" x14ac:dyDescent="0.45">
      <c r="A43" s="17">
        <v>42</v>
      </c>
      <c r="B43" s="17" t="s">
        <v>218</v>
      </c>
      <c r="C43" s="17" t="s">
        <v>218</v>
      </c>
      <c r="D43" s="17" t="s">
        <v>23</v>
      </c>
      <c r="E43" s="17" t="s">
        <v>26</v>
      </c>
      <c r="F43" s="18">
        <v>250</v>
      </c>
      <c r="G43" s="19">
        <v>165963</v>
      </c>
      <c r="H43" s="17"/>
      <c r="I43" s="20" t="s">
        <v>219</v>
      </c>
      <c r="J43" s="17" t="s">
        <v>220</v>
      </c>
    </row>
    <row r="44" spans="1:10" ht="38.25" x14ac:dyDescent="0.45">
      <c r="A44" s="17">
        <v>43</v>
      </c>
      <c r="B44" s="17" t="s">
        <v>221</v>
      </c>
      <c r="C44" s="17" t="s">
        <v>221</v>
      </c>
      <c r="D44" s="17" t="s">
        <v>23</v>
      </c>
      <c r="E44" s="17" t="s">
        <v>26</v>
      </c>
      <c r="F44" s="18">
        <v>400</v>
      </c>
      <c r="G44" s="19">
        <v>163481</v>
      </c>
      <c r="H44" s="17" t="s">
        <v>222</v>
      </c>
      <c r="I44" s="20" t="s">
        <v>223</v>
      </c>
      <c r="J44" s="17" t="s">
        <v>224</v>
      </c>
    </row>
    <row r="45" spans="1:10" ht="51" x14ac:dyDescent="0.45">
      <c r="A45" s="17">
        <v>44</v>
      </c>
      <c r="B45" s="17" t="s">
        <v>225</v>
      </c>
      <c r="C45" s="17" t="s">
        <v>225</v>
      </c>
      <c r="D45" s="17" t="s">
        <v>43</v>
      </c>
      <c r="E45" s="17" t="s">
        <v>24</v>
      </c>
      <c r="F45" s="18">
        <v>400</v>
      </c>
      <c r="G45" s="19">
        <v>170398</v>
      </c>
      <c r="H45" s="17" t="s">
        <v>226</v>
      </c>
      <c r="I45" s="20" t="s">
        <v>227</v>
      </c>
      <c r="J45" s="17" t="s">
        <v>228</v>
      </c>
    </row>
    <row r="46" spans="1:10" x14ac:dyDescent="0.45">
      <c r="A46" s="17">
        <v>45</v>
      </c>
      <c r="B46" s="17" t="s">
        <v>229</v>
      </c>
      <c r="C46" s="17" t="s">
        <v>229</v>
      </c>
      <c r="D46" s="17" t="s">
        <v>33</v>
      </c>
      <c r="E46" s="17" t="s">
        <v>26</v>
      </c>
      <c r="F46" s="18">
        <v>250</v>
      </c>
      <c r="G46" s="19">
        <v>170448</v>
      </c>
      <c r="H46" s="17" t="s">
        <v>230</v>
      </c>
      <c r="I46" s="20" t="s">
        <v>231</v>
      </c>
      <c r="J46" s="17" t="s">
        <v>232</v>
      </c>
    </row>
    <row r="47" spans="1:10" ht="51" x14ac:dyDescent="0.45">
      <c r="A47" s="17">
        <v>46</v>
      </c>
      <c r="B47" s="17" t="s">
        <v>233</v>
      </c>
      <c r="C47" s="17" t="s">
        <v>233</v>
      </c>
      <c r="D47" s="17" t="s">
        <v>23</v>
      </c>
      <c r="E47" s="17" t="s">
        <v>24</v>
      </c>
      <c r="F47" s="18">
        <v>600</v>
      </c>
      <c r="G47" s="19">
        <v>195607</v>
      </c>
      <c r="H47" s="17" t="s">
        <v>234</v>
      </c>
      <c r="I47" s="20" t="s">
        <v>235</v>
      </c>
      <c r="J47" s="17" t="s">
        <v>236</v>
      </c>
    </row>
    <row r="48" spans="1:10" ht="51" x14ac:dyDescent="0.45">
      <c r="A48" s="17">
        <v>47</v>
      </c>
      <c r="B48" s="17" t="s">
        <v>237</v>
      </c>
      <c r="C48" s="17" t="s">
        <v>237</v>
      </c>
      <c r="D48" s="17" t="s">
        <v>23</v>
      </c>
      <c r="E48" s="17" t="s">
        <v>24</v>
      </c>
      <c r="F48" s="18">
        <v>1000</v>
      </c>
      <c r="G48" s="19">
        <v>199509</v>
      </c>
      <c r="H48" s="17" t="s">
        <v>238</v>
      </c>
      <c r="I48" s="20" t="s">
        <v>239</v>
      </c>
      <c r="J48" s="17" t="s">
        <v>240</v>
      </c>
    </row>
    <row r="49" spans="1:10" ht="51" x14ac:dyDescent="0.45">
      <c r="A49" s="17">
        <v>48</v>
      </c>
      <c r="B49" s="17" t="s">
        <v>241</v>
      </c>
      <c r="C49" s="17" t="s">
        <v>241</v>
      </c>
      <c r="D49" s="17" t="s">
        <v>41</v>
      </c>
      <c r="E49" s="17" t="s">
        <v>24</v>
      </c>
      <c r="F49" s="18">
        <v>600</v>
      </c>
      <c r="G49" s="19">
        <v>199707</v>
      </c>
      <c r="H49" s="17" t="s">
        <v>242</v>
      </c>
      <c r="I49" s="20" t="s">
        <v>243</v>
      </c>
      <c r="J49" s="17" t="s">
        <v>244</v>
      </c>
    </row>
    <row r="50" spans="1:10" ht="51" x14ac:dyDescent="0.45">
      <c r="A50" s="17">
        <v>49</v>
      </c>
      <c r="B50" s="17" t="s">
        <v>245</v>
      </c>
      <c r="C50" s="17" t="s">
        <v>245</v>
      </c>
      <c r="D50" s="17" t="s">
        <v>43</v>
      </c>
      <c r="E50" s="17" t="s">
        <v>24</v>
      </c>
      <c r="F50" s="18">
        <v>410</v>
      </c>
      <c r="G50" s="19">
        <v>204775</v>
      </c>
      <c r="H50" s="17" t="s">
        <v>246</v>
      </c>
      <c r="I50" s="20" t="s">
        <v>247</v>
      </c>
      <c r="J50" s="17" t="s">
        <v>248</v>
      </c>
    </row>
    <row r="51" spans="1:10" ht="51" x14ac:dyDescent="0.45">
      <c r="A51" s="17">
        <v>50</v>
      </c>
      <c r="B51" s="17" t="s">
        <v>249</v>
      </c>
      <c r="C51" s="17" t="s">
        <v>249</v>
      </c>
      <c r="D51" s="17" t="s">
        <v>27</v>
      </c>
      <c r="E51" s="17" t="s">
        <v>24</v>
      </c>
      <c r="F51" s="18">
        <v>2200</v>
      </c>
      <c r="G51" s="19">
        <v>203986</v>
      </c>
      <c r="H51" s="17"/>
      <c r="I51" s="20" t="s">
        <v>250</v>
      </c>
      <c r="J51" s="17" t="s">
        <v>251</v>
      </c>
    </row>
    <row r="52" spans="1:10" ht="51" x14ac:dyDescent="0.45">
      <c r="A52" s="17">
        <v>51</v>
      </c>
      <c r="B52" s="17" t="s">
        <v>252</v>
      </c>
      <c r="C52" s="17" t="s">
        <v>252</v>
      </c>
      <c r="D52" s="17" t="s">
        <v>27</v>
      </c>
      <c r="E52" s="17" t="s">
        <v>24</v>
      </c>
      <c r="F52" s="18">
        <v>400</v>
      </c>
      <c r="G52" s="19">
        <v>200770</v>
      </c>
      <c r="H52" s="17" t="s">
        <v>253</v>
      </c>
      <c r="I52" s="20" t="s">
        <v>254</v>
      </c>
      <c r="J52" s="17" t="s">
        <v>255</v>
      </c>
    </row>
    <row r="53" spans="1:10" ht="51" x14ac:dyDescent="0.45">
      <c r="A53" s="17">
        <v>52</v>
      </c>
      <c r="B53" s="17" t="s">
        <v>256</v>
      </c>
      <c r="C53" s="17" t="s">
        <v>256</v>
      </c>
      <c r="D53" s="17" t="s">
        <v>39</v>
      </c>
      <c r="E53" s="17" t="s">
        <v>24</v>
      </c>
      <c r="F53" s="18">
        <v>400</v>
      </c>
      <c r="G53" s="19">
        <v>214924</v>
      </c>
      <c r="H53" s="17" t="s">
        <v>257</v>
      </c>
      <c r="I53" s="20" t="s">
        <v>258</v>
      </c>
      <c r="J53" s="17" t="s">
        <v>259</v>
      </c>
    </row>
    <row r="54" spans="1:10" ht="38.25" x14ac:dyDescent="0.45">
      <c r="A54" s="17">
        <v>53</v>
      </c>
      <c r="B54" s="17" t="s">
        <v>260</v>
      </c>
      <c r="C54" s="17" t="s">
        <v>260</v>
      </c>
      <c r="D54" s="17" t="s">
        <v>31</v>
      </c>
      <c r="E54" s="17" t="s">
        <v>24</v>
      </c>
      <c r="F54" s="18">
        <v>110</v>
      </c>
      <c r="G54" s="19">
        <v>209869</v>
      </c>
      <c r="H54" s="17" t="s">
        <v>261</v>
      </c>
      <c r="I54" s="20" t="s">
        <v>262</v>
      </c>
      <c r="J54" s="17" t="s">
        <v>263</v>
      </c>
    </row>
    <row r="55" spans="1:10" ht="51" x14ac:dyDescent="0.45">
      <c r="A55" s="17">
        <v>54</v>
      </c>
      <c r="B55" s="17" t="s">
        <v>264</v>
      </c>
      <c r="C55" s="17" t="s">
        <v>264</v>
      </c>
      <c r="D55" s="17" t="s">
        <v>23</v>
      </c>
      <c r="E55" s="17" t="s">
        <v>24</v>
      </c>
      <c r="F55" s="18">
        <v>250</v>
      </c>
      <c r="G55" s="19">
        <v>237449</v>
      </c>
      <c r="H55" s="17" t="s">
        <v>265</v>
      </c>
      <c r="I55" s="20" t="s">
        <v>266</v>
      </c>
      <c r="J55" s="17" t="s">
        <v>267</v>
      </c>
    </row>
    <row r="56" spans="1:10" ht="51" x14ac:dyDescent="0.45">
      <c r="A56" s="17">
        <v>55</v>
      </c>
      <c r="B56" s="17" t="s">
        <v>268</v>
      </c>
      <c r="C56" s="17" t="s">
        <v>268</v>
      </c>
      <c r="D56" s="17" t="s">
        <v>31</v>
      </c>
      <c r="E56" s="17" t="s">
        <v>24</v>
      </c>
      <c r="F56" s="18">
        <v>3200</v>
      </c>
      <c r="G56" s="19">
        <v>224290</v>
      </c>
      <c r="H56" s="17" t="s">
        <v>269</v>
      </c>
      <c r="I56" s="20" t="s">
        <v>270</v>
      </c>
      <c r="J56" s="17" t="s">
        <v>271</v>
      </c>
    </row>
    <row r="57" spans="1:10" ht="51" x14ac:dyDescent="0.45">
      <c r="A57" s="17">
        <v>56</v>
      </c>
      <c r="B57" s="17" t="s">
        <v>272</v>
      </c>
      <c r="C57" s="17" t="s">
        <v>273</v>
      </c>
      <c r="D57" s="17" t="s">
        <v>35</v>
      </c>
      <c r="E57" s="17" t="s">
        <v>24</v>
      </c>
      <c r="F57" s="18">
        <v>1000</v>
      </c>
      <c r="G57" s="19">
        <v>253296</v>
      </c>
      <c r="H57" s="17" t="s">
        <v>274</v>
      </c>
      <c r="I57" s="20" t="s">
        <v>275</v>
      </c>
      <c r="J57" s="17" t="s">
        <v>276</v>
      </c>
    </row>
    <row r="58" spans="1:10" ht="25.5" x14ac:dyDescent="0.45">
      <c r="A58" s="17">
        <v>57</v>
      </c>
      <c r="B58" s="17" t="s">
        <v>277</v>
      </c>
      <c r="C58" s="17" t="s">
        <v>278</v>
      </c>
      <c r="D58" s="17" t="s">
        <v>23</v>
      </c>
      <c r="E58" s="17" t="s">
        <v>36</v>
      </c>
      <c r="F58" s="18">
        <v>150</v>
      </c>
      <c r="G58" s="19">
        <v>260506</v>
      </c>
      <c r="H58" s="17" t="s">
        <v>279</v>
      </c>
      <c r="I58" s="20" t="s">
        <v>280</v>
      </c>
      <c r="J58" s="17" t="s">
        <v>281</v>
      </c>
    </row>
    <row r="59" spans="1:10" ht="51" x14ac:dyDescent="0.45">
      <c r="A59" s="17">
        <v>58</v>
      </c>
      <c r="B59" s="17" t="s">
        <v>282</v>
      </c>
      <c r="C59" s="17" t="s">
        <v>282</v>
      </c>
      <c r="D59" s="17" t="s">
        <v>25</v>
      </c>
      <c r="E59" s="17" t="s">
        <v>24</v>
      </c>
      <c r="F59" s="18">
        <v>900</v>
      </c>
      <c r="G59" s="19">
        <v>265076</v>
      </c>
      <c r="H59" s="17" t="s">
        <v>283</v>
      </c>
      <c r="I59" s="20" t="s">
        <v>284</v>
      </c>
      <c r="J59" s="17" t="s">
        <v>285</v>
      </c>
    </row>
    <row r="60" spans="1:10" ht="38.25" x14ac:dyDescent="0.45">
      <c r="A60" s="17">
        <v>59</v>
      </c>
      <c r="B60" s="17" t="s">
        <v>286</v>
      </c>
      <c r="C60" s="17" t="s">
        <v>286</v>
      </c>
      <c r="D60" s="17" t="s">
        <v>41</v>
      </c>
      <c r="E60" s="17" t="s">
        <v>28</v>
      </c>
      <c r="F60" s="18">
        <v>512</v>
      </c>
      <c r="G60" s="19">
        <v>273509</v>
      </c>
      <c r="H60" s="17" t="s">
        <v>287</v>
      </c>
      <c r="I60" s="20" t="s">
        <v>288</v>
      </c>
      <c r="J60" s="17" t="s">
        <v>289</v>
      </c>
    </row>
    <row r="61" spans="1:10" ht="51" x14ac:dyDescent="0.45">
      <c r="A61" s="17">
        <v>60</v>
      </c>
      <c r="B61" s="17" t="s">
        <v>290</v>
      </c>
      <c r="C61" s="17" t="s">
        <v>290</v>
      </c>
      <c r="D61" s="17" t="s">
        <v>35</v>
      </c>
      <c r="E61" s="17" t="s">
        <v>30</v>
      </c>
      <c r="F61" s="18">
        <v>300</v>
      </c>
      <c r="G61" s="19">
        <v>271771</v>
      </c>
      <c r="H61" s="17" t="s">
        <v>291</v>
      </c>
      <c r="I61" s="20" t="s">
        <v>292</v>
      </c>
      <c r="J61" s="17" t="s">
        <v>293</v>
      </c>
    </row>
    <row r="62" spans="1:10" ht="38.25" x14ac:dyDescent="0.45">
      <c r="A62" s="17">
        <v>61</v>
      </c>
      <c r="B62" s="17" t="s">
        <v>294</v>
      </c>
      <c r="C62" s="17" t="s">
        <v>295</v>
      </c>
      <c r="D62" s="17" t="s">
        <v>41</v>
      </c>
      <c r="E62" s="17" t="s">
        <v>24</v>
      </c>
      <c r="F62" s="18">
        <v>500</v>
      </c>
      <c r="G62" s="19">
        <v>263526</v>
      </c>
      <c r="H62" s="17" t="s">
        <v>296</v>
      </c>
      <c r="I62" s="20" t="s">
        <v>297</v>
      </c>
      <c r="J62" s="17" t="s">
        <v>298</v>
      </c>
    </row>
    <row r="63" spans="1:10" ht="38.25" x14ac:dyDescent="0.45">
      <c r="A63" s="17">
        <v>62</v>
      </c>
      <c r="B63" s="17" t="s">
        <v>299</v>
      </c>
      <c r="C63" s="17" t="s">
        <v>299</v>
      </c>
      <c r="D63" s="17" t="s">
        <v>37</v>
      </c>
      <c r="E63" s="17" t="s">
        <v>24</v>
      </c>
      <c r="F63" s="18">
        <v>175</v>
      </c>
      <c r="G63" s="19">
        <v>266750</v>
      </c>
      <c r="H63" s="17"/>
      <c r="I63" s="20" t="s">
        <v>300</v>
      </c>
      <c r="J63" s="17" t="s">
        <v>301</v>
      </c>
    </row>
    <row r="64" spans="1:10" ht="38.25" x14ac:dyDescent="0.45">
      <c r="A64" s="17">
        <v>63</v>
      </c>
      <c r="B64" s="17" t="s">
        <v>302</v>
      </c>
      <c r="C64" s="17" t="s">
        <v>302</v>
      </c>
      <c r="D64" s="17" t="s">
        <v>23</v>
      </c>
      <c r="E64" s="17" t="s">
        <v>24</v>
      </c>
      <c r="F64" s="18">
        <v>615</v>
      </c>
      <c r="G64" s="19">
        <v>271965</v>
      </c>
      <c r="H64" s="17" t="s">
        <v>303</v>
      </c>
      <c r="I64" s="20" t="s">
        <v>304</v>
      </c>
      <c r="J64" s="17" t="s">
        <v>305</v>
      </c>
    </row>
    <row r="65" spans="1:10" ht="25.5" x14ac:dyDescent="0.45">
      <c r="A65" s="17">
        <v>64</v>
      </c>
      <c r="B65" s="17" t="s">
        <v>306</v>
      </c>
      <c r="C65" s="17" t="s">
        <v>306</v>
      </c>
      <c r="D65" s="17" t="s">
        <v>31</v>
      </c>
      <c r="E65" s="17" t="s">
        <v>24</v>
      </c>
      <c r="F65" s="18">
        <v>600</v>
      </c>
      <c r="G65" s="19">
        <v>286430</v>
      </c>
      <c r="H65" s="17" t="s">
        <v>307</v>
      </c>
      <c r="I65" s="20" t="s">
        <v>308</v>
      </c>
      <c r="J65" s="17" t="s">
        <v>309</v>
      </c>
    </row>
    <row r="66" spans="1:10" x14ac:dyDescent="0.45">
      <c r="A66" s="17">
        <v>65</v>
      </c>
      <c r="B66" s="17" t="s">
        <v>310</v>
      </c>
      <c r="C66" s="17" t="s">
        <v>311</v>
      </c>
      <c r="D66" s="17" t="s">
        <v>29</v>
      </c>
      <c r="E66" s="17" t="s">
        <v>34</v>
      </c>
      <c r="F66" s="18">
        <v>650</v>
      </c>
      <c r="G66" s="19">
        <v>296394</v>
      </c>
      <c r="H66" s="17" t="s">
        <v>312</v>
      </c>
      <c r="I66" s="20" t="s">
        <v>313</v>
      </c>
      <c r="J66" s="17" t="s">
        <v>314</v>
      </c>
    </row>
    <row r="67" spans="1:10" ht="51" x14ac:dyDescent="0.45">
      <c r="A67" s="17">
        <v>66</v>
      </c>
      <c r="B67" s="17" t="s">
        <v>315</v>
      </c>
      <c r="C67" s="17" t="s">
        <v>315</v>
      </c>
      <c r="D67" s="17" t="s">
        <v>27</v>
      </c>
      <c r="E67" s="17" t="s">
        <v>24</v>
      </c>
      <c r="F67" s="18">
        <v>200</v>
      </c>
      <c r="G67" s="19">
        <v>305738</v>
      </c>
      <c r="H67" s="17" t="s">
        <v>316</v>
      </c>
      <c r="I67" s="20" t="s">
        <v>317</v>
      </c>
      <c r="J67" s="17" t="s">
        <v>318</v>
      </c>
    </row>
    <row r="68" spans="1:10" ht="51" x14ac:dyDescent="0.45">
      <c r="A68" s="17">
        <v>67</v>
      </c>
      <c r="B68" s="17" t="s">
        <v>319</v>
      </c>
      <c r="C68" s="17" t="s">
        <v>319</v>
      </c>
      <c r="D68" s="17" t="s">
        <v>27</v>
      </c>
      <c r="E68" s="17" t="s">
        <v>24</v>
      </c>
      <c r="F68" s="18">
        <v>350</v>
      </c>
      <c r="G68" s="19">
        <v>296390</v>
      </c>
      <c r="H68" s="17" t="s">
        <v>320</v>
      </c>
      <c r="I68" s="20" t="s">
        <v>321</v>
      </c>
      <c r="J68" s="17" t="s">
        <v>322</v>
      </c>
    </row>
    <row r="69" spans="1:10" ht="51" x14ac:dyDescent="0.45">
      <c r="A69" s="17">
        <v>68</v>
      </c>
      <c r="B69" s="17" t="s">
        <v>323</v>
      </c>
      <c r="C69" s="17" t="s">
        <v>323</v>
      </c>
      <c r="D69" s="17" t="s">
        <v>29</v>
      </c>
      <c r="E69" s="17" t="s">
        <v>24</v>
      </c>
      <c r="F69" s="18">
        <v>105</v>
      </c>
      <c r="G69" s="19">
        <v>310546</v>
      </c>
      <c r="H69" s="17" t="s">
        <v>324</v>
      </c>
      <c r="I69" s="20" t="s">
        <v>325</v>
      </c>
      <c r="J69" s="17" t="s">
        <v>326</v>
      </c>
    </row>
    <row r="70" spans="1:10" ht="25.5" x14ac:dyDescent="0.45">
      <c r="A70" s="17">
        <v>69</v>
      </c>
      <c r="B70" s="17" t="s">
        <v>327</v>
      </c>
      <c r="C70" s="17" t="s">
        <v>327</v>
      </c>
      <c r="D70" s="17" t="s">
        <v>29</v>
      </c>
      <c r="E70" s="17" t="s">
        <v>24</v>
      </c>
      <c r="F70" s="18">
        <v>710</v>
      </c>
      <c r="G70" s="19">
        <v>313304</v>
      </c>
      <c r="H70" s="17" t="s">
        <v>328</v>
      </c>
      <c r="I70" s="20" t="s">
        <v>329</v>
      </c>
      <c r="J70" s="17" t="s">
        <v>330</v>
      </c>
    </row>
    <row r="71" spans="1:10" ht="38.25" x14ac:dyDescent="0.45">
      <c r="A71" s="17">
        <v>70</v>
      </c>
      <c r="B71" s="17" t="s">
        <v>331</v>
      </c>
      <c r="C71" s="17" t="s">
        <v>331</v>
      </c>
      <c r="D71" s="17" t="s">
        <v>35</v>
      </c>
      <c r="E71" s="17" t="s">
        <v>24</v>
      </c>
      <c r="F71" s="18">
        <v>100</v>
      </c>
      <c r="G71" s="19">
        <v>303936</v>
      </c>
      <c r="H71" s="17" t="s">
        <v>332</v>
      </c>
      <c r="I71" s="20" t="s">
        <v>333</v>
      </c>
      <c r="J71" s="17" t="s">
        <v>334</v>
      </c>
    </row>
    <row r="72" spans="1:10" ht="51" x14ac:dyDescent="0.45">
      <c r="A72" s="17">
        <v>71</v>
      </c>
      <c r="B72" s="17" t="s">
        <v>335</v>
      </c>
      <c r="C72" s="17" t="s">
        <v>335</v>
      </c>
      <c r="D72" s="17" t="s">
        <v>27</v>
      </c>
      <c r="E72" s="17" t="s">
        <v>24</v>
      </c>
      <c r="F72" s="18">
        <v>450</v>
      </c>
      <c r="G72" s="19">
        <v>304050</v>
      </c>
      <c r="H72" s="17" t="s">
        <v>336</v>
      </c>
      <c r="I72" s="20" t="s">
        <v>337</v>
      </c>
      <c r="J72" s="17" t="s">
        <v>338</v>
      </c>
    </row>
    <row r="73" spans="1:10" ht="51" x14ac:dyDescent="0.45">
      <c r="A73" s="17">
        <v>72</v>
      </c>
      <c r="B73" s="17" t="s">
        <v>339</v>
      </c>
      <c r="C73" s="17"/>
      <c r="D73" s="17" t="s">
        <v>37</v>
      </c>
      <c r="E73" s="17" t="s">
        <v>32</v>
      </c>
      <c r="F73" s="18">
        <v>200</v>
      </c>
      <c r="G73" s="19">
        <v>303599</v>
      </c>
      <c r="H73" s="17" t="s">
        <v>340</v>
      </c>
      <c r="I73" s="20" t="s">
        <v>341</v>
      </c>
      <c r="J73" s="17" t="s">
        <v>342</v>
      </c>
    </row>
    <row r="74" spans="1:10" ht="51" x14ac:dyDescent="0.45">
      <c r="A74" s="17">
        <v>73</v>
      </c>
      <c r="B74" s="17" t="s">
        <v>343</v>
      </c>
      <c r="C74" s="17" t="s">
        <v>343</v>
      </c>
      <c r="D74" s="17" t="s">
        <v>27</v>
      </c>
      <c r="E74" s="17" t="s">
        <v>24</v>
      </c>
      <c r="F74" s="18">
        <v>0</v>
      </c>
      <c r="G74" s="19">
        <v>305253</v>
      </c>
      <c r="H74" s="17" t="s">
        <v>344</v>
      </c>
      <c r="I74" s="20" t="s">
        <v>345</v>
      </c>
      <c r="J74" s="17" t="s">
        <v>346</v>
      </c>
    </row>
    <row r="75" spans="1:10" x14ac:dyDescent="0.45">
      <c r="A75" s="17">
        <v>74</v>
      </c>
      <c r="B75" s="17" t="s">
        <v>347</v>
      </c>
      <c r="C75" s="17" t="s">
        <v>347</v>
      </c>
      <c r="D75" s="17" t="s">
        <v>23</v>
      </c>
      <c r="E75" s="17" t="s">
        <v>38</v>
      </c>
      <c r="F75" s="18">
        <v>0</v>
      </c>
      <c r="G75" s="19">
        <v>304658</v>
      </c>
      <c r="H75" s="17" t="s">
        <v>348</v>
      </c>
      <c r="I75" s="20" t="s">
        <v>349</v>
      </c>
      <c r="J75" s="17" t="s">
        <v>350</v>
      </c>
    </row>
    <row r="76" spans="1:10" ht="51" x14ac:dyDescent="0.45">
      <c r="A76" s="17">
        <v>75</v>
      </c>
      <c r="B76" s="17" t="s">
        <v>351</v>
      </c>
      <c r="C76" s="17" t="s">
        <v>352</v>
      </c>
      <c r="D76" s="17" t="s">
        <v>44</v>
      </c>
      <c r="E76" s="17" t="s">
        <v>24</v>
      </c>
      <c r="F76" s="18">
        <v>0</v>
      </c>
      <c r="G76" s="19">
        <v>305104</v>
      </c>
      <c r="H76" s="17" t="s">
        <v>353</v>
      </c>
      <c r="I76" s="20" t="s">
        <v>354</v>
      </c>
      <c r="J76" s="17" t="s">
        <v>355</v>
      </c>
    </row>
    <row r="77" spans="1:10" x14ac:dyDescent="0.45">
      <c r="A77" s="17">
        <v>76</v>
      </c>
      <c r="B77" s="17" t="s">
        <v>356</v>
      </c>
      <c r="C77" s="17" t="s">
        <v>356</v>
      </c>
      <c r="D77" s="17" t="s">
        <v>33</v>
      </c>
      <c r="E77" s="17" t="s">
        <v>24</v>
      </c>
      <c r="F77" s="18">
        <v>400</v>
      </c>
      <c r="G77" s="19">
        <v>305733</v>
      </c>
      <c r="H77" s="17" t="s">
        <v>357</v>
      </c>
      <c r="I77" s="20" t="s">
        <v>358</v>
      </c>
      <c r="J77" s="17" t="s">
        <v>359</v>
      </c>
    </row>
    <row r="78" spans="1:10" ht="51" x14ac:dyDescent="0.45">
      <c r="A78" s="17">
        <v>77</v>
      </c>
      <c r="B78" s="17" t="s">
        <v>360</v>
      </c>
      <c r="C78" s="17" t="s">
        <v>361</v>
      </c>
      <c r="D78" s="17" t="s">
        <v>37</v>
      </c>
      <c r="E78" s="17" t="s">
        <v>28</v>
      </c>
      <c r="F78" s="18">
        <v>3</v>
      </c>
      <c r="G78" s="19">
        <v>305581</v>
      </c>
      <c r="H78" s="17" t="s">
        <v>362</v>
      </c>
      <c r="I78" s="20" t="s">
        <v>363</v>
      </c>
      <c r="J78" s="17" t="s">
        <v>364</v>
      </c>
    </row>
    <row r="79" spans="1:10" ht="51" x14ac:dyDescent="0.45">
      <c r="A79" s="17">
        <v>78</v>
      </c>
      <c r="B79" s="17" t="s">
        <v>365</v>
      </c>
      <c r="C79" s="17" t="s">
        <v>366</v>
      </c>
      <c r="D79" s="17" t="s">
        <v>29</v>
      </c>
      <c r="E79" s="17" t="s">
        <v>24</v>
      </c>
      <c r="F79" s="18">
        <v>582</v>
      </c>
      <c r="G79" s="19">
        <v>305735</v>
      </c>
      <c r="H79" s="17" t="s">
        <v>367</v>
      </c>
      <c r="I79" s="20" t="s">
        <v>368</v>
      </c>
      <c r="J79" s="17" t="s">
        <v>369</v>
      </c>
    </row>
    <row r="80" spans="1:10" ht="51" x14ac:dyDescent="0.45">
      <c r="A80" s="17">
        <v>79</v>
      </c>
      <c r="B80" s="17" t="s">
        <v>370</v>
      </c>
      <c r="C80" s="17" t="s">
        <v>370</v>
      </c>
      <c r="D80" s="17" t="s">
        <v>27</v>
      </c>
      <c r="E80" s="17" t="s">
        <v>24</v>
      </c>
      <c r="F80" s="18">
        <v>1000</v>
      </c>
      <c r="G80" s="19">
        <v>311921</v>
      </c>
      <c r="H80" s="17" t="s">
        <v>371</v>
      </c>
      <c r="I80" s="20" t="s">
        <v>372</v>
      </c>
      <c r="J80" s="17" t="s">
        <v>373</v>
      </c>
    </row>
    <row r="81" spans="1:10" ht="51" x14ac:dyDescent="0.45">
      <c r="A81" s="17">
        <v>80</v>
      </c>
      <c r="B81" s="17" t="s">
        <v>374</v>
      </c>
      <c r="C81" s="17" t="s">
        <v>374</v>
      </c>
      <c r="D81" s="17" t="s">
        <v>33</v>
      </c>
      <c r="E81" s="17" t="s">
        <v>24</v>
      </c>
      <c r="F81" s="18">
        <v>650</v>
      </c>
      <c r="G81" s="19">
        <v>305326</v>
      </c>
      <c r="H81" s="17" t="s">
        <v>375</v>
      </c>
      <c r="I81" s="20" t="s">
        <v>376</v>
      </c>
      <c r="J81" s="17" t="s">
        <v>377</v>
      </c>
    </row>
    <row r="82" spans="1:10" ht="51" x14ac:dyDescent="0.45">
      <c r="A82" s="17">
        <v>81</v>
      </c>
      <c r="B82" s="17" t="s">
        <v>378</v>
      </c>
      <c r="C82" s="17" t="s">
        <v>379</v>
      </c>
      <c r="D82" s="17" t="s">
        <v>29</v>
      </c>
      <c r="E82" s="17" t="s">
        <v>24</v>
      </c>
      <c r="F82" s="18">
        <v>21</v>
      </c>
      <c r="G82" s="19">
        <v>303985</v>
      </c>
      <c r="H82" s="17" t="s">
        <v>380</v>
      </c>
      <c r="I82" s="20" t="s">
        <v>381</v>
      </c>
      <c r="J82" s="17" t="s">
        <v>382</v>
      </c>
    </row>
    <row r="83" spans="1:10" ht="51" x14ac:dyDescent="0.45">
      <c r="A83" s="17">
        <v>82</v>
      </c>
      <c r="B83" s="17" t="s">
        <v>383</v>
      </c>
      <c r="C83" s="17" t="s">
        <v>384</v>
      </c>
      <c r="D83" s="17" t="s">
        <v>39</v>
      </c>
      <c r="E83" s="17" t="s">
        <v>24</v>
      </c>
      <c r="F83" s="18">
        <v>6</v>
      </c>
      <c r="G83" s="19">
        <v>310600</v>
      </c>
      <c r="H83" s="17" t="s">
        <v>385</v>
      </c>
      <c r="I83" s="20" t="s">
        <v>386</v>
      </c>
      <c r="J83" s="17" t="s">
        <v>387</v>
      </c>
    </row>
    <row r="84" spans="1:10" ht="51" x14ac:dyDescent="0.45">
      <c r="A84" s="17">
        <v>83</v>
      </c>
      <c r="B84" s="17" t="s">
        <v>388</v>
      </c>
      <c r="C84" s="17" t="s">
        <v>388</v>
      </c>
      <c r="D84" s="17" t="s">
        <v>41</v>
      </c>
      <c r="E84" s="17" t="s">
        <v>24</v>
      </c>
      <c r="F84" s="18">
        <v>300</v>
      </c>
      <c r="G84" s="19">
        <v>304404</v>
      </c>
      <c r="H84" s="17" t="s">
        <v>389</v>
      </c>
      <c r="I84" s="20" t="s">
        <v>390</v>
      </c>
      <c r="J84" s="17" t="s">
        <v>391</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4"/>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25" x14ac:dyDescent="0.45"/>
  <cols>
    <col min="1" max="1" width="5" customWidth="1"/>
    <col min="2" max="2" width="30" customWidth="1"/>
    <col min="3" max="3" width="13" customWidth="1"/>
    <col min="4" max="4" width="20" customWidth="1"/>
    <col min="5" max="5" width="14" customWidth="1"/>
    <col min="6" max="6" width="70" customWidth="1"/>
  </cols>
  <sheetData>
    <row r="1" spans="1:6" ht="30" customHeight="1" x14ac:dyDescent="0.45">
      <c r="A1" s="16" t="s">
        <v>46</v>
      </c>
      <c r="B1" s="16" t="s">
        <v>392</v>
      </c>
      <c r="C1" s="16" t="s">
        <v>393</v>
      </c>
      <c r="D1" s="16" t="s">
        <v>394</v>
      </c>
      <c r="E1" s="16" t="s">
        <v>395</v>
      </c>
      <c r="F1" s="16" t="s">
        <v>55</v>
      </c>
    </row>
    <row r="2" spans="1:6" x14ac:dyDescent="0.45">
      <c r="A2" s="17">
        <v>1</v>
      </c>
      <c r="B2" s="17" t="s">
        <v>396</v>
      </c>
      <c r="C2" s="18">
        <v>1100</v>
      </c>
      <c r="D2" s="21">
        <v>46302.999305555597</v>
      </c>
      <c r="E2" s="17" t="str">
        <f>IF(D2&lt;Summary!$C$5,"Expired","Pending")</f>
        <v>Pending</v>
      </c>
      <c r="F2" s="17" t="s">
        <v>397</v>
      </c>
    </row>
    <row r="3" spans="1:6" x14ac:dyDescent="0.45">
      <c r="A3" s="17">
        <v>2</v>
      </c>
      <c r="B3" s="17" t="s">
        <v>398</v>
      </c>
      <c r="C3" s="18">
        <v>1500</v>
      </c>
      <c r="D3" s="21">
        <v>46304.999305555597</v>
      </c>
      <c r="E3" s="17" t="str">
        <f>IF(D3&lt;Summary!$C$5,"Expired","Pending")</f>
        <v>Pending</v>
      </c>
      <c r="F3" s="17" t="s">
        <v>399</v>
      </c>
    </row>
    <row r="4" spans="1:6" x14ac:dyDescent="0.45">
      <c r="A4" s="17">
        <v>3</v>
      </c>
      <c r="B4" s="17" t="s">
        <v>400</v>
      </c>
      <c r="C4" s="18">
        <v>0</v>
      </c>
      <c r="D4" s="21">
        <v>46301.999305555597</v>
      </c>
      <c r="E4" s="17" t="str">
        <f>IF(D4&lt;Summary!$C$5,"Expired","Pending")</f>
        <v>Pending</v>
      </c>
      <c r="F4" s="17" t="s">
        <v>401</v>
      </c>
    </row>
    <row r="5" spans="1:6" x14ac:dyDescent="0.45">
      <c r="A5" s="17">
        <v>4</v>
      </c>
      <c r="B5" s="17" t="s">
        <v>402</v>
      </c>
      <c r="C5" s="18">
        <v>0</v>
      </c>
      <c r="D5" s="21">
        <v>46298.999305555597</v>
      </c>
      <c r="E5" s="17" t="str">
        <f>IF(D5&lt;Summary!$C$5,"Expired","Pending")</f>
        <v>Pending</v>
      </c>
      <c r="F5" s="17" t="s">
        <v>403</v>
      </c>
    </row>
    <row r="6" spans="1:6" x14ac:dyDescent="0.45">
      <c r="A6" s="17">
        <v>5</v>
      </c>
      <c r="B6" s="17" t="s">
        <v>404</v>
      </c>
      <c r="C6" s="18">
        <v>0</v>
      </c>
      <c r="D6" s="21">
        <v>46304.999305555597</v>
      </c>
      <c r="E6" s="17" t="str">
        <f>IF(D6&lt;Summary!$C$5,"Expired","Pending")</f>
        <v>Pending</v>
      </c>
      <c r="F6" s="17" t="s">
        <v>405</v>
      </c>
    </row>
    <row r="7" spans="1:6" x14ac:dyDescent="0.45">
      <c r="A7" s="17">
        <v>6</v>
      </c>
      <c r="B7" s="17" t="s">
        <v>406</v>
      </c>
      <c r="C7" s="18">
        <v>0</v>
      </c>
      <c r="D7" s="21">
        <v>46303.999305555597</v>
      </c>
      <c r="E7" s="17" t="str">
        <f>IF(D7&lt;Summary!$C$5,"Expired","Pending")</f>
        <v>Pending</v>
      </c>
      <c r="F7" s="17" t="s">
        <v>407</v>
      </c>
    </row>
    <row r="8" spans="1:6" x14ac:dyDescent="0.45">
      <c r="A8" s="17">
        <v>7</v>
      </c>
      <c r="B8" s="17" t="s">
        <v>408</v>
      </c>
      <c r="C8" s="18">
        <v>230</v>
      </c>
      <c r="D8" s="21">
        <v>46301.999305555597</v>
      </c>
      <c r="E8" s="17" t="str">
        <f>IF(D8&lt;Summary!$C$5,"Expired","Pending")</f>
        <v>Pending</v>
      </c>
      <c r="F8" s="17" t="s">
        <v>409</v>
      </c>
    </row>
    <row r="9" spans="1:6" x14ac:dyDescent="0.45">
      <c r="A9" s="17">
        <v>8</v>
      </c>
      <c r="B9" s="17" t="s">
        <v>410</v>
      </c>
      <c r="C9" s="18">
        <v>0</v>
      </c>
      <c r="D9" s="21">
        <v>46301.999305555597</v>
      </c>
      <c r="E9" s="17" t="str">
        <f>IF(D9&lt;Summary!$C$5,"Expired","Pending")</f>
        <v>Pending</v>
      </c>
      <c r="F9" s="17" t="s">
        <v>411</v>
      </c>
    </row>
    <row r="10" spans="1:6" x14ac:dyDescent="0.45">
      <c r="A10" s="17">
        <v>9</v>
      </c>
      <c r="B10" s="17" t="s">
        <v>412</v>
      </c>
      <c r="C10" s="18">
        <v>0</v>
      </c>
      <c r="D10" s="21">
        <v>46299.999305555597</v>
      </c>
      <c r="E10" s="17" t="str">
        <f>IF(D10&lt;Summary!$C$5,"Expired","Pending")</f>
        <v>Pending</v>
      </c>
      <c r="F10" s="17" t="s">
        <v>413</v>
      </c>
    </row>
    <row r="11" spans="1:6" x14ac:dyDescent="0.45">
      <c r="A11" s="17">
        <v>10</v>
      </c>
      <c r="B11" s="17" t="s">
        <v>414</v>
      </c>
      <c r="C11" s="18">
        <v>0</v>
      </c>
      <c r="D11" s="21">
        <v>46300.999305555597</v>
      </c>
      <c r="E11" s="17" t="str">
        <f>IF(D11&lt;Summary!$C$5,"Expired","Pending")</f>
        <v>Pending</v>
      </c>
      <c r="F11" s="17" t="s">
        <v>415</v>
      </c>
    </row>
    <row r="12" spans="1:6" x14ac:dyDescent="0.45">
      <c r="A12" s="17">
        <v>11</v>
      </c>
      <c r="B12" s="17" t="s">
        <v>416</v>
      </c>
      <c r="C12" s="18">
        <v>0</v>
      </c>
      <c r="D12" s="21">
        <v>46302.999305555597</v>
      </c>
      <c r="E12" s="17" t="str">
        <f>IF(D12&lt;Summary!$C$5,"Expired","Pending")</f>
        <v>Pending</v>
      </c>
      <c r="F12" s="17" t="s">
        <v>417</v>
      </c>
    </row>
    <row r="13" spans="1:6" x14ac:dyDescent="0.45">
      <c r="A13" s="17">
        <v>12</v>
      </c>
      <c r="B13" s="17" t="s">
        <v>418</v>
      </c>
      <c r="C13" s="18">
        <v>150</v>
      </c>
      <c r="D13" s="21">
        <v>46300.999305555597</v>
      </c>
      <c r="E13" s="17" t="str">
        <f>IF(D13&lt;Summary!$C$5,"Expired","Pending")</f>
        <v>Pending</v>
      </c>
      <c r="F13" s="17" t="s">
        <v>419</v>
      </c>
    </row>
    <row r="14" spans="1:6" x14ac:dyDescent="0.45">
      <c r="A14" s="17">
        <v>13</v>
      </c>
      <c r="B14" s="17" t="s">
        <v>420</v>
      </c>
      <c r="C14" s="18">
        <v>0</v>
      </c>
      <c r="D14" s="21">
        <v>46301.999305555597</v>
      </c>
      <c r="E14" s="17" t="str">
        <f>IF(D14&lt;Summary!$C$5,"Expired","Pending")</f>
        <v>Pending</v>
      </c>
      <c r="F14" s="17" t="s">
        <v>421</v>
      </c>
    </row>
    <row r="15" spans="1:6" x14ac:dyDescent="0.45">
      <c r="A15" s="17">
        <v>14</v>
      </c>
      <c r="B15" s="17" t="s">
        <v>422</v>
      </c>
      <c r="C15" s="18">
        <v>0</v>
      </c>
      <c r="D15" s="21">
        <v>46300.999305555597</v>
      </c>
      <c r="E15" s="17" t="str">
        <f>IF(D15&lt;Summary!$C$5,"Expired","Pending")</f>
        <v>Pending</v>
      </c>
      <c r="F15" s="17" t="s">
        <v>423</v>
      </c>
    </row>
    <row r="16" spans="1:6" x14ac:dyDescent="0.45">
      <c r="A16" s="17">
        <v>15</v>
      </c>
      <c r="B16" s="17" t="s">
        <v>424</v>
      </c>
      <c r="C16" s="18">
        <v>0</v>
      </c>
      <c r="D16" s="21">
        <v>46300.999305555597</v>
      </c>
      <c r="E16" s="17" t="str">
        <f>IF(D16&lt;Summary!$C$5,"Expired","Pending")</f>
        <v>Pending</v>
      </c>
      <c r="F16" s="17" t="s">
        <v>425</v>
      </c>
    </row>
    <row r="17" spans="1:6" x14ac:dyDescent="0.45">
      <c r="A17" s="17">
        <v>16</v>
      </c>
      <c r="B17" s="17" t="s">
        <v>426</v>
      </c>
      <c r="C17" s="18">
        <v>999</v>
      </c>
      <c r="D17" s="21">
        <v>46300.999305555597</v>
      </c>
      <c r="E17" s="17" t="str">
        <f>IF(D17&lt;Summary!$C$5,"Expired","Pending")</f>
        <v>Pending</v>
      </c>
      <c r="F17" s="17" t="s">
        <v>427</v>
      </c>
    </row>
    <row r="18" spans="1:6" x14ac:dyDescent="0.45">
      <c r="A18" s="17">
        <v>17</v>
      </c>
      <c r="B18" s="17" t="s">
        <v>428</v>
      </c>
      <c r="C18" s="18">
        <v>0</v>
      </c>
      <c r="D18" s="21">
        <v>46302.999305555597</v>
      </c>
      <c r="E18" s="17" t="str">
        <f>IF(D18&lt;Summary!$C$5,"Expired","Pending")</f>
        <v>Pending</v>
      </c>
      <c r="F18" s="17" t="s">
        <v>429</v>
      </c>
    </row>
    <row r="19" spans="1:6" x14ac:dyDescent="0.45">
      <c r="A19" s="17">
        <v>18</v>
      </c>
      <c r="B19" s="17" t="s">
        <v>430</v>
      </c>
      <c r="C19" s="18">
        <v>0</v>
      </c>
      <c r="D19" s="21">
        <v>46303.999305555597</v>
      </c>
      <c r="E19" s="17" t="str">
        <f>IF(D19&lt;Summary!$C$5,"Expired","Pending")</f>
        <v>Pending</v>
      </c>
      <c r="F19" s="17" t="s">
        <v>431</v>
      </c>
    </row>
    <row r="20" spans="1:6" x14ac:dyDescent="0.45">
      <c r="A20" s="17">
        <v>19</v>
      </c>
      <c r="B20" s="17" t="s">
        <v>432</v>
      </c>
      <c r="C20" s="18">
        <v>0</v>
      </c>
      <c r="D20" s="21">
        <v>46087.644131944398</v>
      </c>
      <c r="E20" s="17" t="str">
        <f>IF(D20&lt;Summary!$C$5,"Expired","Pending")</f>
        <v>Expired</v>
      </c>
      <c r="F20" s="17" t="s">
        <v>433</v>
      </c>
    </row>
    <row r="21" spans="1:6" x14ac:dyDescent="0.45">
      <c r="A21" s="17">
        <v>20</v>
      </c>
      <c r="B21" s="17" t="s">
        <v>434</v>
      </c>
      <c r="C21" s="18">
        <v>1000</v>
      </c>
      <c r="D21" s="21">
        <v>46299.999305555597</v>
      </c>
      <c r="E21" s="17" t="str">
        <f>IF(D21&lt;Summary!$C$5,"Expired","Pending")</f>
        <v>Pending</v>
      </c>
      <c r="F21" s="17" t="s">
        <v>435</v>
      </c>
    </row>
    <row r="22" spans="1:6" x14ac:dyDescent="0.45">
      <c r="A22" s="17">
        <v>21</v>
      </c>
      <c r="B22" s="17" t="s">
        <v>436</v>
      </c>
      <c r="C22" s="18">
        <v>1000</v>
      </c>
      <c r="D22" s="21">
        <v>46303.999305555597</v>
      </c>
      <c r="E22" s="17" t="str">
        <f>IF(D22&lt;Summary!$C$5,"Expired","Pending")</f>
        <v>Pending</v>
      </c>
      <c r="F22" s="17" t="s">
        <v>437</v>
      </c>
    </row>
    <row r="23" spans="1:6" x14ac:dyDescent="0.45">
      <c r="A23" s="17">
        <v>22</v>
      </c>
      <c r="B23" s="17" t="s">
        <v>438</v>
      </c>
      <c r="C23" s="18">
        <v>30</v>
      </c>
      <c r="D23" s="21">
        <v>46302.999305555597</v>
      </c>
      <c r="E23" s="17" t="str">
        <f>IF(D23&lt;Summary!$C$5,"Expired","Pending")</f>
        <v>Pending</v>
      </c>
      <c r="F23" s="17" t="s">
        <v>439</v>
      </c>
    </row>
    <row r="24" spans="1:6" x14ac:dyDescent="0.45">
      <c r="A24" s="17">
        <v>23</v>
      </c>
      <c r="B24" s="17" t="s">
        <v>440</v>
      </c>
      <c r="C24" s="18">
        <v>600</v>
      </c>
      <c r="D24" s="21">
        <v>46304.999305555597</v>
      </c>
      <c r="E24" s="17" t="str">
        <f>IF(D24&lt;Summary!$C$5,"Expired","Pending")</f>
        <v>Pending</v>
      </c>
      <c r="F24" s="17" t="s">
        <v>441</v>
      </c>
    </row>
    <row r="25" spans="1:6" x14ac:dyDescent="0.45">
      <c r="A25" s="17">
        <v>24</v>
      </c>
      <c r="B25" s="17" t="s">
        <v>442</v>
      </c>
      <c r="C25" s="18">
        <v>1000</v>
      </c>
      <c r="D25" s="21">
        <v>46301.999305555597</v>
      </c>
      <c r="E25" s="17" t="str">
        <f>IF(D25&lt;Summary!$C$5,"Expired","Pending")</f>
        <v>Pending</v>
      </c>
      <c r="F25" s="17" t="s">
        <v>443</v>
      </c>
    </row>
    <row r="26" spans="1:6" x14ac:dyDescent="0.45">
      <c r="A26" s="17">
        <v>25</v>
      </c>
      <c r="B26" s="17" t="s">
        <v>444</v>
      </c>
      <c r="C26" s="18">
        <v>300</v>
      </c>
      <c r="D26" s="21">
        <v>46299.999305555597</v>
      </c>
      <c r="E26" s="17" t="str">
        <f>IF(D26&lt;Summary!$C$5,"Expired","Pending")</f>
        <v>Pending</v>
      </c>
      <c r="F26" s="17" t="s">
        <v>445</v>
      </c>
    </row>
    <row r="27" spans="1:6" x14ac:dyDescent="0.45">
      <c r="A27" s="17">
        <v>26</v>
      </c>
      <c r="B27" s="17" t="s">
        <v>446</v>
      </c>
      <c r="C27" s="18">
        <v>100</v>
      </c>
      <c r="D27" s="21">
        <v>46300.999305555597</v>
      </c>
      <c r="E27" s="17" t="str">
        <f>IF(D27&lt;Summary!$C$5,"Expired","Pending")</f>
        <v>Pending</v>
      </c>
      <c r="F27" s="17" t="s">
        <v>447</v>
      </c>
    </row>
    <row r="28" spans="1:6" x14ac:dyDescent="0.45">
      <c r="A28" s="17">
        <v>27</v>
      </c>
      <c r="B28" s="17" t="s">
        <v>448</v>
      </c>
      <c r="C28" s="18">
        <v>300</v>
      </c>
      <c r="D28" s="21">
        <v>46299.999305555597</v>
      </c>
      <c r="E28" s="17" t="str">
        <f>IF(D28&lt;Summary!$C$5,"Expired","Pending")</f>
        <v>Pending</v>
      </c>
      <c r="F28" s="17" t="s">
        <v>449</v>
      </c>
    </row>
    <row r="29" spans="1:6" x14ac:dyDescent="0.45">
      <c r="A29" s="17">
        <v>28</v>
      </c>
      <c r="B29" s="17" t="s">
        <v>450</v>
      </c>
      <c r="C29" s="18">
        <v>1400</v>
      </c>
      <c r="D29" s="21">
        <v>46302.999305555597</v>
      </c>
      <c r="E29" s="17" t="str">
        <f>IF(D29&lt;Summary!$C$5,"Expired","Pending")</f>
        <v>Pending</v>
      </c>
      <c r="F29" s="17" t="s">
        <v>451</v>
      </c>
    </row>
    <row r="30" spans="1:6" x14ac:dyDescent="0.45">
      <c r="A30" s="17">
        <v>29</v>
      </c>
      <c r="B30" s="17" t="s">
        <v>452</v>
      </c>
      <c r="C30" s="18">
        <v>0</v>
      </c>
      <c r="D30" s="21">
        <v>45952.8666435185</v>
      </c>
      <c r="E30" s="17" t="str">
        <f>IF(D30&lt;Summary!$C$5,"Expired","Pending")</f>
        <v>Expired</v>
      </c>
      <c r="F30" s="17" t="s">
        <v>453</v>
      </c>
    </row>
    <row r="31" spans="1:6" x14ac:dyDescent="0.45">
      <c r="A31" s="17">
        <v>30</v>
      </c>
      <c r="B31" s="17" t="s">
        <v>454</v>
      </c>
      <c r="C31" s="18">
        <v>0</v>
      </c>
      <c r="D31" s="21">
        <v>46302.999305555597</v>
      </c>
      <c r="E31" s="17" t="str">
        <f>IF(D31&lt;Summary!$C$5,"Expired","Pending")</f>
        <v>Pending</v>
      </c>
      <c r="F31" s="17" t="s">
        <v>455</v>
      </c>
    </row>
    <row r="32" spans="1:6" x14ac:dyDescent="0.45">
      <c r="A32" s="17">
        <v>31</v>
      </c>
      <c r="B32" s="17" t="s">
        <v>456</v>
      </c>
      <c r="C32" s="18">
        <v>120</v>
      </c>
      <c r="D32" s="21">
        <v>46301.999305555597</v>
      </c>
      <c r="E32" s="17" t="str">
        <f>IF(D32&lt;Summary!$C$5,"Expired","Pending")</f>
        <v>Pending</v>
      </c>
      <c r="F32" s="17" t="s">
        <v>457</v>
      </c>
    </row>
    <row r="33" spans="1:6" x14ac:dyDescent="0.45">
      <c r="A33" s="17">
        <v>32</v>
      </c>
      <c r="B33" s="17" t="s">
        <v>458</v>
      </c>
      <c r="C33" s="18">
        <v>100</v>
      </c>
      <c r="D33" s="21">
        <v>46300.999305555597</v>
      </c>
      <c r="E33" s="17" t="str">
        <f>IF(D33&lt;Summary!$C$5,"Expired","Pending")</f>
        <v>Pending</v>
      </c>
      <c r="F33" s="17" t="s">
        <v>459</v>
      </c>
    </row>
    <row r="34" spans="1:6" x14ac:dyDescent="0.45">
      <c r="A34" s="17">
        <v>33</v>
      </c>
      <c r="B34" s="17" t="s">
        <v>460</v>
      </c>
      <c r="C34" s="18">
        <v>170</v>
      </c>
      <c r="D34" s="21">
        <v>46304.999305555597</v>
      </c>
      <c r="E34" s="17" t="str">
        <f>IF(D34&lt;Summary!$C$5,"Expired","Pending")</f>
        <v>Pending</v>
      </c>
      <c r="F34" s="17" t="s">
        <v>461</v>
      </c>
    </row>
    <row r="35" spans="1:6" x14ac:dyDescent="0.45">
      <c r="A35" s="17">
        <v>34</v>
      </c>
      <c r="B35" s="17" t="s">
        <v>462</v>
      </c>
      <c r="C35" s="18">
        <v>700</v>
      </c>
      <c r="D35" s="21">
        <v>46302.999305555597</v>
      </c>
      <c r="E35" s="17" t="str">
        <f>IF(D35&lt;Summary!$C$5,"Expired","Pending")</f>
        <v>Pending</v>
      </c>
      <c r="F35" s="17" t="s">
        <v>463</v>
      </c>
    </row>
    <row r="36" spans="1:6" x14ac:dyDescent="0.45">
      <c r="A36" s="17">
        <v>35</v>
      </c>
      <c r="B36" s="17" t="s">
        <v>464</v>
      </c>
      <c r="C36" s="18">
        <v>0</v>
      </c>
      <c r="D36" s="21">
        <v>46302.999305555597</v>
      </c>
      <c r="E36" s="17" t="str">
        <f>IF(D36&lt;Summary!$C$5,"Expired","Pending")</f>
        <v>Pending</v>
      </c>
      <c r="F36" s="17" t="s">
        <v>465</v>
      </c>
    </row>
    <row r="37" spans="1:6" x14ac:dyDescent="0.45">
      <c r="A37" s="17">
        <v>36</v>
      </c>
      <c r="B37" s="17" t="s">
        <v>466</v>
      </c>
      <c r="C37" s="18">
        <v>0</v>
      </c>
      <c r="D37" s="21">
        <v>46301.999305555597</v>
      </c>
      <c r="E37" s="17" t="str">
        <f>IF(D37&lt;Summary!$C$5,"Expired","Pending")</f>
        <v>Pending</v>
      </c>
      <c r="F37" s="17" t="s">
        <v>467</v>
      </c>
    </row>
    <row r="38" spans="1:6" x14ac:dyDescent="0.45">
      <c r="A38" s="17">
        <v>37</v>
      </c>
      <c r="B38" s="17" t="s">
        <v>468</v>
      </c>
      <c r="C38" s="18">
        <v>2000</v>
      </c>
      <c r="D38" s="21">
        <v>46304.999305555597</v>
      </c>
      <c r="E38" s="17" t="str">
        <f>IF(D38&lt;Summary!$C$5,"Expired","Pending")</f>
        <v>Pending</v>
      </c>
      <c r="F38" s="17" t="s">
        <v>469</v>
      </c>
    </row>
    <row r="39" spans="1:6" x14ac:dyDescent="0.45">
      <c r="A39" s="17">
        <v>38</v>
      </c>
      <c r="B39" s="17" t="s">
        <v>470</v>
      </c>
      <c r="C39" s="18">
        <v>0</v>
      </c>
      <c r="D39" s="21">
        <v>46302.999305555597</v>
      </c>
      <c r="E39" s="17" t="str">
        <f>IF(D39&lt;Summary!$C$5,"Expired","Pending")</f>
        <v>Pending</v>
      </c>
      <c r="F39" s="17" t="s">
        <v>471</v>
      </c>
    </row>
    <row r="40" spans="1:6" x14ac:dyDescent="0.45">
      <c r="A40" s="17">
        <v>39</v>
      </c>
      <c r="B40" s="17" t="s">
        <v>472</v>
      </c>
      <c r="C40" s="18">
        <v>0</v>
      </c>
      <c r="D40" s="21">
        <v>46300.999305555597</v>
      </c>
      <c r="E40" s="17" t="str">
        <f>IF(D40&lt;Summary!$C$5,"Expired","Pending")</f>
        <v>Pending</v>
      </c>
      <c r="F40" s="17" t="s">
        <v>473</v>
      </c>
    </row>
    <row r="41" spans="1:6" x14ac:dyDescent="0.45">
      <c r="A41" s="17">
        <v>40</v>
      </c>
      <c r="B41" s="17" t="s">
        <v>474</v>
      </c>
      <c r="C41" s="18">
        <v>0</v>
      </c>
      <c r="D41" s="21">
        <v>46300.999305555597</v>
      </c>
      <c r="E41" s="17" t="str">
        <f>IF(D41&lt;Summary!$C$5,"Expired","Pending")</f>
        <v>Pending</v>
      </c>
      <c r="F41" s="17" t="s">
        <v>475</v>
      </c>
    </row>
    <row r="42" spans="1:6" x14ac:dyDescent="0.45">
      <c r="A42" s="17">
        <v>41</v>
      </c>
      <c r="B42" s="17" t="s">
        <v>476</v>
      </c>
      <c r="C42" s="18">
        <v>0</v>
      </c>
      <c r="D42" s="21">
        <v>46303.999305555597</v>
      </c>
      <c r="E42" s="17" t="str">
        <f>IF(D42&lt;Summary!$C$5,"Expired","Pending")</f>
        <v>Pending</v>
      </c>
      <c r="F42" s="17" t="s">
        <v>477</v>
      </c>
    </row>
    <row r="43" spans="1:6" x14ac:dyDescent="0.45">
      <c r="A43" s="17">
        <v>42</v>
      </c>
      <c r="B43" s="17" t="s">
        <v>478</v>
      </c>
      <c r="C43" s="18">
        <v>50</v>
      </c>
      <c r="D43" s="21">
        <v>46299.999305555597</v>
      </c>
      <c r="E43" s="17" t="str">
        <f>IF(D43&lt;Summary!$C$5,"Expired","Pending")</f>
        <v>Pending</v>
      </c>
      <c r="F43" s="17" t="s">
        <v>479</v>
      </c>
    </row>
    <row r="44" spans="1:6" x14ac:dyDescent="0.45">
      <c r="A44" s="17">
        <v>43</v>
      </c>
      <c r="B44" s="17" t="s">
        <v>480</v>
      </c>
      <c r="C44" s="18">
        <v>720</v>
      </c>
      <c r="D44" s="21">
        <v>46299.999305555597</v>
      </c>
      <c r="E44" s="17" t="str">
        <f>IF(D44&lt;Summary!$C$5,"Expired","Pending")</f>
        <v>Pending</v>
      </c>
      <c r="F44" s="17" t="s">
        <v>481</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23"/>
  <sheetViews>
    <sheetView showGridLines="0" zoomScaleNormal="100" workbookViewId="0"/>
  </sheetViews>
  <sheetFormatPr defaultColWidth="8.6640625" defaultRowHeight="14.25" x14ac:dyDescent="0.45"/>
  <cols>
    <col min="1" max="1" width="2" customWidth="1"/>
    <col min="2" max="2" width="120" customWidth="1"/>
  </cols>
  <sheetData>
    <row r="2" spans="2:2" ht="20.65" x14ac:dyDescent="0.45">
      <c r="B2" s="22" t="s">
        <v>482</v>
      </c>
    </row>
    <row r="3" spans="2:2" x14ac:dyDescent="0.45">
      <c r="B3" s="20"/>
    </row>
    <row r="4" spans="2:2" ht="15" x14ac:dyDescent="0.45">
      <c r="B4" s="23" t="s">
        <v>483</v>
      </c>
    </row>
    <row r="5" spans="2:2" ht="25.5" x14ac:dyDescent="0.45">
      <c r="B5" s="20" t="s">
        <v>484</v>
      </c>
    </row>
    <row r="6" spans="2:2" x14ac:dyDescent="0.45">
      <c r="B6" s="20" t="s">
        <v>485</v>
      </c>
    </row>
    <row r="7" spans="2:2" x14ac:dyDescent="0.45">
      <c r="B7" s="20"/>
    </row>
    <row r="8" spans="2:2" ht="15" x14ac:dyDescent="0.45">
      <c r="B8" s="23" t="s">
        <v>486</v>
      </c>
    </row>
    <row r="9" spans="2:2" x14ac:dyDescent="0.45">
      <c r="B9" s="20" t="s">
        <v>487</v>
      </c>
    </row>
    <row r="10" spans="2:2" x14ac:dyDescent="0.45">
      <c r="B10" s="20" t="s">
        <v>488</v>
      </c>
    </row>
    <row r="11" spans="2:2" ht="25.5" x14ac:dyDescent="0.45">
      <c r="B11" s="20" t="s">
        <v>489</v>
      </c>
    </row>
    <row r="12" spans="2:2" ht="25.5" x14ac:dyDescent="0.45">
      <c r="B12" s="20" t="s">
        <v>490</v>
      </c>
    </row>
    <row r="13" spans="2:2" x14ac:dyDescent="0.45">
      <c r="B13" s="20" t="s">
        <v>491</v>
      </c>
    </row>
    <row r="14" spans="2:2" x14ac:dyDescent="0.45">
      <c r="B14" s="20"/>
    </row>
    <row r="15" spans="2:2" ht="15" x14ac:dyDescent="0.45">
      <c r="B15" s="23" t="s">
        <v>492</v>
      </c>
    </row>
    <row r="16" spans="2:2" ht="25.5" x14ac:dyDescent="0.45">
      <c r="B16" s="20" t="s">
        <v>493</v>
      </c>
    </row>
    <row r="17" spans="2:2" x14ac:dyDescent="0.45">
      <c r="B17" s="20" t="s">
        <v>494</v>
      </c>
    </row>
    <row r="18" spans="2:2" x14ac:dyDescent="0.45">
      <c r="B18" s="20" t="s">
        <v>495</v>
      </c>
    </row>
    <row r="19" spans="2:2" x14ac:dyDescent="0.45">
      <c r="B19" s="20"/>
    </row>
    <row r="20" spans="2:2" ht="15" x14ac:dyDescent="0.45">
      <c r="B20" s="23" t="s">
        <v>496</v>
      </c>
    </row>
    <row r="21" spans="2:2" ht="25.5" x14ac:dyDescent="0.45">
      <c r="B21" s="20" t="s">
        <v>497</v>
      </c>
    </row>
    <row r="22" spans="2:2" ht="25.5" x14ac:dyDescent="0.45">
      <c r="B22" s="20" t="s">
        <v>498</v>
      </c>
    </row>
    <row r="23" spans="2:2" x14ac:dyDescent="0.45">
      <c r="B23" s="20" t="s">
        <v>499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Published Victims</vt:lpstr>
      <vt:lpstr>Pending (Obfuscated)</vt:lpstr>
      <vt:lpstr>Notes &amp;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#QUAH YEW YI#</cp:lastModifiedBy>
  <cp:revision>1</cp:revision>
  <dcterms:created xsi:type="dcterms:W3CDTF">2026-10-01T17:02:51Z</dcterms:created>
  <dcterms:modified xsi:type="dcterms:W3CDTF">2026-10-01T17:08:52Z</dcterms:modified>
  <dc:language>en-US</dc:language>
</cp:coreProperties>
</file>